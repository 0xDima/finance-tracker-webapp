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/Documents/personal/Finances/2025/statements/february/filtered/"/>
    </mc:Choice>
  </mc:AlternateContent>
  <xr:revisionPtr revIDLastSave="0" documentId="13_ncr:1_{90FD5CA6-D1BD-EE4E-80D9-BB06CFBADC30}" xr6:coauthVersionLast="47" xr6:coauthVersionMax="47" xr10:uidLastSave="{00000000-0000-0000-0000-000000000000}"/>
  <bookViews>
    <workbookView xWindow="0" yWindow="700" windowWidth="27040" windowHeight="15120" xr2:uid="{A4DA4CB0-A381-E54B-8C32-31A5D4D85E96}"/>
  </bookViews>
  <sheets>
    <sheet name="Month txs" sheetId="1" r:id="rId1"/>
    <sheet name="Crypto" sheetId="2" r:id="rId2"/>
    <sheet name="Stoc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" i="1" l="1"/>
  <c r="I11" i="1"/>
  <c r="I27" i="1" l="1"/>
  <c r="I24" i="1"/>
  <c r="I23" i="1"/>
  <c r="I22" i="1"/>
  <c r="I21" i="1"/>
  <c r="I20" i="1"/>
  <c r="I19" i="1"/>
  <c r="I18" i="1"/>
  <c r="I17" i="1"/>
  <c r="I16" i="1"/>
  <c r="I15" i="1"/>
  <c r="I14" i="1"/>
  <c r="E8" i="2"/>
  <c r="E3" i="3"/>
  <c r="E7" i="2"/>
  <c r="E6" i="2"/>
  <c r="E2" i="3"/>
  <c r="E2" i="2"/>
  <c r="E3" i="2"/>
  <c r="E4" i="2"/>
  <c r="E5" i="2"/>
  <c r="I25" i="1" l="1"/>
  <c r="I28" i="1" s="1"/>
</calcChain>
</file>

<file path=xl/sharedStrings.xml><?xml version="1.0" encoding="utf-8"?>
<sst xmlns="http://schemas.openxmlformats.org/spreadsheetml/2006/main" count="290" uniqueCount="89">
  <si>
    <t>DATE</t>
  </si>
  <si>
    <t>DESCRIPTION</t>
  </si>
  <si>
    <t>SUM</t>
  </si>
  <si>
    <t>CATEGORY</t>
  </si>
  <si>
    <t>NOTES</t>
  </si>
  <si>
    <t>REVOLUT</t>
  </si>
  <si>
    <t>PAYMENT METHOD</t>
  </si>
  <si>
    <t>CASH</t>
  </si>
  <si>
    <t>MONOBANK</t>
  </si>
  <si>
    <t>SUMMARY</t>
  </si>
  <si>
    <t>ERSTE</t>
  </si>
  <si>
    <t>CRYPTO INVESTMENTS</t>
  </si>
  <si>
    <t>EMERGENCY FUND</t>
  </si>
  <si>
    <t>MOVING OUT FUND</t>
  </si>
  <si>
    <t>SPENT BY CATEGORIES</t>
  </si>
  <si>
    <t>Groceries</t>
  </si>
  <si>
    <t>Transportation</t>
  </si>
  <si>
    <t>Dining &amp; Restoraunts</t>
  </si>
  <si>
    <t>Shopping</t>
  </si>
  <si>
    <t>Home</t>
  </si>
  <si>
    <t>Cash Withdrawals</t>
  </si>
  <si>
    <t>Entertainment &amp; Subscription</t>
  </si>
  <si>
    <t>Travelling</t>
  </si>
  <si>
    <t>Education &amp; Studying</t>
  </si>
  <si>
    <t>Investments</t>
  </si>
  <si>
    <t>Income</t>
  </si>
  <si>
    <t>Other</t>
  </si>
  <si>
    <t>Total spend</t>
  </si>
  <si>
    <t>ETH</t>
  </si>
  <si>
    <t>SOL</t>
  </si>
  <si>
    <t>IBM</t>
  </si>
  <si>
    <t>Date</t>
  </si>
  <si>
    <t>Ticker</t>
  </si>
  <si>
    <t>Amount</t>
  </si>
  <si>
    <t>Price per coin</t>
  </si>
  <si>
    <t>Sum, $</t>
  </si>
  <si>
    <t>NVDA</t>
  </si>
  <si>
    <t>erste</t>
  </si>
  <si>
    <t>Naplata naknade za vođenje računa</t>
  </si>
  <si>
    <t>462765XXXXXX9899, FITNESS.COM.HR WEB Zagreb</t>
  </si>
  <si>
    <t>462765XXXXXX9899, RESTORAN KAMPUS RIJEKA</t>
  </si>
  <si>
    <t>462765XXXXXX9899, GAVRANOVIC P-209 HRELJIN</t>
  </si>
  <si>
    <t>462765XXXXXX9899, PETROL BP RIJEKA</t>
  </si>
  <si>
    <t>UPLATA NA DEPOZITNOM BANKOMATU</t>
  </si>
  <si>
    <t>462765XXXXXX9899, INTERSPAR8721 RIJEKA</t>
  </si>
  <si>
    <t>U17357273</t>
  </si>
  <si>
    <t>462765XXXXXX9899, MUELLER RIJEKA 4985 RIJEKA</t>
  </si>
  <si>
    <t>462765XXXXXX9899, SHOETIQUE Rijeka Rijeka</t>
  </si>
  <si>
    <t>cruyff shoes</t>
  </si>
  <si>
    <t>moving out savings</t>
  </si>
  <si>
    <t>savings</t>
  </si>
  <si>
    <t>lego gift for arina</t>
  </si>
  <si>
    <t>investments, ibrk</t>
  </si>
  <si>
    <t>investments, ibkr</t>
  </si>
  <si>
    <t>monobank</t>
  </si>
  <si>
    <t>PLODINE SUPERMARKET</t>
  </si>
  <si>
    <t>RESTORAN KAMPUS</t>
  </si>
  <si>
    <t>GAVRANOVIC P-209</t>
  </si>
  <si>
    <t>INTERSPAR8729</t>
  </si>
  <si>
    <t>Google YouTubePremium</t>
  </si>
  <si>
    <t>revolut</t>
  </si>
  <si>
    <t>Netflix</t>
  </si>
  <si>
    <t>Transfer to Revolut user</t>
  </si>
  <si>
    <t>Carraca Pub</t>
  </si>
  <si>
    <t>Restoran Kampus</t>
  </si>
  <si>
    <t>KEKS Pay</t>
  </si>
  <si>
    <t>Müller</t>
  </si>
  <si>
    <t>Dante Bar</t>
  </si>
  <si>
    <t>INTERSPAR</t>
  </si>
  <si>
    <t>McDonald's</t>
  </si>
  <si>
    <t>Mlinar</t>
  </si>
  <si>
    <t>Rijeka Trans</t>
  </si>
  <si>
    <t>Wolt</t>
  </si>
  <si>
    <t>SPAR Food &amp; Fuel</t>
  </si>
  <si>
    <t>Pekara Krimeja D.o.o.</t>
  </si>
  <si>
    <t>Bolt</t>
  </si>
  <si>
    <t>Apple</t>
  </si>
  <si>
    <t>AliExpress</t>
  </si>
  <si>
    <t>Tabacco Shop</t>
  </si>
  <si>
    <t>Elevenlabs</t>
  </si>
  <si>
    <t>dm drogerie</t>
  </si>
  <si>
    <t>Index</t>
  </si>
  <si>
    <t>Petrol</t>
  </si>
  <si>
    <t>Bmove</t>
  </si>
  <si>
    <t>Burger King</t>
  </si>
  <si>
    <t>Gavranović</t>
  </si>
  <si>
    <t>STOCKS INVESTMENTS</t>
  </si>
  <si>
    <t>case</t>
  </si>
  <si>
    <t>Price per Stock,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</si>
</sst>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d\-mmm;@"/>
    <numFmt numFmtId="172" formatCode="_([$€-2]\ * #,##0.00_);_([$€-2]\ * \(#,##0.00\);_([$€-2]\ * &quot;-&quot;??_);_(@_)"/>
    <numFmt numFmtId="174" formatCode="_-* #,##0.00\ [$₴-422]_-;\-* #,##0.00\ [$₴-422]_-;_-* &quot;-&quot;??\ [$₴-422]_-;_-@_-"/>
  </numFmts>
  <fonts count="11" x14ac:knownFonts="1"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5"/>
      <color theme="0"/>
      <name val="Aptos Narrow"/>
      <scheme val="minor"/>
    </font>
    <font>
      <sz val="15"/>
      <color rgb="FFFFFFFF"/>
      <name val="Aptos Narrow"/>
      <scheme val="minor"/>
    </font>
    <font>
      <sz val="13"/>
      <color theme="0"/>
      <name val="Aptos Narrow"/>
      <scheme val="minor"/>
    </font>
    <font>
      <sz val="15"/>
      <color theme="0"/>
      <name val="Aptos Narrow (Body)"/>
    </font>
    <font>
      <sz val="12"/>
      <color rgb="FF000000"/>
      <name val="Aptos Narrow"/>
      <family val="2"/>
      <scheme val="minor"/>
    </font>
    <font>
      <sz val="12"/>
      <color theme="1"/>
      <name val="Helvetica"/>
      <family val="2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3CCEC"/>
        <bgColor indexed="64"/>
      </patternFill>
    </fill>
    <fill>
      <patternFill patternType="solid">
        <fgColor rgb="FF83CCEC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8" fillId="0" borderId="0" applyFont="0" applyFill="0" applyBorder="0" applyAlignment="0" applyProtection="0"/>
  </cellStyleXfs>
  <cellXfs count="29">
    <xf numFmtId="0" fontId="0" fillId="0" borderId="0" xfId="0"/>
    <xf numFmtId="2" fontId="0" fillId="0" borderId="0" xfId="0" applyNumberFormat="1"/>
    <xf numFmtId="0" fontId="2" fillId="3" borderId="2" xfId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0" fontId="6" fillId="7" borderId="4" xfId="0" applyFont="1" applyFill="1" applyBorder="1"/>
    <xf numFmtId="0" fontId="6" fillId="7" borderId="7" xfId="0" applyFont="1" applyFill="1" applyBorder="1"/>
    <xf numFmtId="0" fontId="0" fillId="8" borderId="0" xfId="0" applyFill="1"/>
    <xf numFmtId="16" fontId="0" fillId="0" borderId="0" xfId="0" applyNumberFormat="1"/>
    <xf numFmtId="164" fontId="0" fillId="0" borderId="0" xfId="0" applyNumberFormat="1"/>
    <xf numFmtId="0" fontId="7" fillId="0" borderId="0" xfId="0" applyFont="1"/>
    <xf numFmtId="0" fontId="6" fillId="0" borderId="0" xfId="0" applyFont="1"/>
    <xf numFmtId="0" fontId="0" fillId="2" borderId="0" xfId="0" applyFill="1" applyAlignment="1">
      <alignment horizontal="center"/>
    </xf>
    <xf numFmtId="0" fontId="5" fillId="5" borderId="0" xfId="1" applyFont="1" applyFill="1" applyBorder="1" applyAlignment="1">
      <alignment horizontal="center"/>
    </xf>
    <xf numFmtId="0" fontId="4" fillId="5" borderId="0" xfId="1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10" fillId="0" borderId="0" xfId="0" applyFont="1"/>
    <xf numFmtId="2" fontId="10" fillId="0" borderId="0" xfId="0" applyNumberFormat="1" applyFont="1"/>
    <xf numFmtId="0" fontId="6" fillId="7" borderId="2" xfId="0" applyFont="1" applyFill="1" applyBorder="1"/>
    <xf numFmtId="14" fontId="10" fillId="0" borderId="0" xfId="0" applyNumberFormat="1" applyFont="1"/>
    <xf numFmtId="172" fontId="6" fillId="7" borderId="7" xfId="0" applyNumberFormat="1" applyFont="1" applyFill="1" applyBorder="1"/>
    <xf numFmtId="172" fontId="0" fillId="4" borderId="2" xfId="0" applyNumberFormat="1" applyFill="1" applyBorder="1"/>
    <xf numFmtId="44" fontId="6" fillId="7" borderId="6" xfId="2" applyFont="1" applyFill="1" applyBorder="1"/>
    <xf numFmtId="174" fontId="0" fillId="4" borderId="2" xfId="0" applyNumberFormat="1" applyFill="1" applyBorder="1"/>
    <xf numFmtId="0" fontId="9" fillId="0" borderId="0" xfId="0" applyFont="1"/>
  </cellXfs>
  <cellStyles count="3">
    <cellStyle name="Currency" xfId="2" builtinId="4"/>
    <cellStyle name="Heading 2" xfId="1" builtinId="17"/>
    <cellStyle name="Normal" xfId="0" builtinId="0"/>
  </cellStyles>
  <dxfs count="0"/>
  <tableStyles count="0" defaultTableStyle="TableStyleMedium2" defaultPivotStyle="PivotStyleLight16"/>
  <colors>
    <mruColors>
      <color rgb="FF83C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0882-D44B-5648-9B60-83A711B7F793}">
  <dimension ref="A1:J80"/>
  <sheetViews>
    <sheetView tabSelected="1" zoomScale="115" workbookViewId="0">
      <selection activeCell="L15" sqref="L15"/>
    </sheetView>
  </sheetViews>
  <sheetFormatPr baseColWidth="10" defaultRowHeight="16" x14ac:dyDescent="0.2"/>
  <cols>
    <col min="1" max="1" width="10.5" bestFit="1" customWidth="1"/>
    <col min="2" max="2" width="20.83203125" bestFit="1" customWidth="1"/>
    <col min="3" max="3" width="42.33203125" customWidth="1"/>
    <col min="4" max="4" width="11.83203125" customWidth="1"/>
    <col min="5" max="5" width="27" customWidth="1"/>
    <col min="6" max="6" width="40.33203125" customWidth="1"/>
    <col min="8" max="8" width="28.6640625" customWidth="1"/>
    <col min="9" max="9" width="14.33203125" customWidth="1"/>
  </cols>
  <sheetData>
    <row r="1" spans="1:10" ht="20" x14ac:dyDescent="0.25">
      <c r="A1" s="2" t="s">
        <v>0</v>
      </c>
      <c r="B1" s="2" t="s">
        <v>6</v>
      </c>
      <c r="C1" s="2" t="s">
        <v>1</v>
      </c>
      <c r="D1" s="2" t="s">
        <v>2</v>
      </c>
      <c r="E1" s="2" t="s">
        <v>3</v>
      </c>
      <c r="F1" s="3" t="s">
        <v>4</v>
      </c>
      <c r="G1" s="14"/>
      <c r="H1" s="15" t="s">
        <v>9</v>
      </c>
      <c r="I1" s="16"/>
    </row>
    <row r="2" spans="1:10" x14ac:dyDescent="0.2">
      <c r="A2" s="23">
        <v>45716</v>
      </c>
      <c r="B2" s="20" t="s">
        <v>37</v>
      </c>
      <c r="C2" s="20" t="s">
        <v>38</v>
      </c>
      <c r="D2" s="21">
        <v>-3</v>
      </c>
      <c r="E2" s="20" t="s">
        <v>26</v>
      </c>
      <c r="F2" s="20"/>
      <c r="G2" s="14"/>
      <c r="H2" s="5" t="s">
        <v>7</v>
      </c>
      <c r="I2" s="25">
        <v>10</v>
      </c>
      <c r="J2" s="28">
        <v>10</v>
      </c>
    </row>
    <row r="3" spans="1:10" x14ac:dyDescent="0.2">
      <c r="A3" s="23">
        <v>45712</v>
      </c>
      <c r="B3" s="20" t="s">
        <v>37</v>
      </c>
      <c r="C3" s="20" t="s">
        <v>39</v>
      </c>
      <c r="D3" s="21">
        <v>-77.900000000000006</v>
      </c>
      <c r="E3" s="20" t="s">
        <v>18</v>
      </c>
      <c r="F3" s="20"/>
      <c r="G3" s="14"/>
      <c r="H3" s="5" t="s">
        <v>10</v>
      </c>
      <c r="I3" s="25">
        <v>18</v>
      </c>
      <c r="J3" s="28">
        <v>18</v>
      </c>
    </row>
    <row r="4" spans="1:10" x14ac:dyDescent="0.2">
      <c r="A4" s="23">
        <v>45710</v>
      </c>
      <c r="B4" s="20" t="s">
        <v>37</v>
      </c>
      <c r="C4" s="20" t="s">
        <v>40</v>
      </c>
      <c r="D4" s="21">
        <v>-1.31</v>
      </c>
      <c r="E4" s="20" t="s">
        <v>17</v>
      </c>
      <c r="F4" s="20"/>
      <c r="G4" s="14"/>
      <c r="H4" s="5" t="s">
        <v>5</v>
      </c>
      <c r="I4" s="25">
        <v>10</v>
      </c>
      <c r="J4" s="28">
        <v>10</v>
      </c>
    </row>
    <row r="5" spans="1:10" x14ac:dyDescent="0.2">
      <c r="A5" s="23">
        <v>45708</v>
      </c>
      <c r="B5" s="20" t="s">
        <v>37</v>
      </c>
      <c r="C5" s="20" t="s">
        <v>41</v>
      </c>
      <c r="D5" s="21">
        <v>-7.1</v>
      </c>
      <c r="E5" s="20" t="s">
        <v>15</v>
      </c>
      <c r="F5" s="20"/>
      <c r="G5" s="14"/>
      <c r="H5" s="5" t="s">
        <v>8</v>
      </c>
      <c r="I5" s="27">
        <v>-700</v>
      </c>
      <c r="J5" s="28">
        <v>-17</v>
      </c>
    </row>
    <row r="6" spans="1:10" x14ac:dyDescent="0.2">
      <c r="A6" s="23">
        <v>45708</v>
      </c>
      <c r="B6" s="20" t="s">
        <v>37</v>
      </c>
      <c r="C6" s="20" t="s">
        <v>42</v>
      </c>
      <c r="D6" s="21">
        <v>-14.99</v>
      </c>
      <c r="E6" s="20" t="s">
        <v>16</v>
      </c>
      <c r="F6" s="20"/>
      <c r="G6" s="14"/>
      <c r="H6" s="5"/>
      <c r="I6" s="5"/>
      <c r="J6" s="28"/>
    </row>
    <row r="7" spans="1:10" x14ac:dyDescent="0.2">
      <c r="A7" s="23">
        <v>45707</v>
      </c>
      <c r="B7" s="20" t="s">
        <v>37</v>
      </c>
      <c r="C7" s="20" t="s">
        <v>43</v>
      </c>
      <c r="D7" s="21">
        <v>20</v>
      </c>
      <c r="E7" s="20" t="s">
        <v>25</v>
      </c>
      <c r="F7" s="20"/>
      <c r="G7" s="14"/>
      <c r="H7" s="5" t="s">
        <v>86</v>
      </c>
      <c r="I7" s="25">
        <v>70</v>
      </c>
      <c r="J7" s="28">
        <v>70</v>
      </c>
    </row>
    <row r="8" spans="1:10" x14ac:dyDescent="0.2">
      <c r="A8" s="23">
        <v>45706</v>
      </c>
      <c r="B8" s="20" t="s">
        <v>37</v>
      </c>
      <c r="C8" s="20" t="s">
        <v>44</v>
      </c>
      <c r="D8" s="21">
        <v>-2.48</v>
      </c>
      <c r="E8" s="20" t="s">
        <v>15</v>
      </c>
      <c r="F8" s="20"/>
      <c r="G8" s="14"/>
      <c r="H8" s="22" t="s">
        <v>11</v>
      </c>
      <c r="I8" s="26">
        <v>698</v>
      </c>
      <c r="J8" s="28">
        <v>685</v>
      </c>
    </row>
    <row r="9" spans="1:10" x14ac:dyDescent="0.2">
      <c r="A9" s="23">
        <v>45706</v>
      </c>
      <c r="B9" s="20" t="s">
        <v>37</v>
      </c>
      <c r="C9" s="20" t="s">
        <v>44</v>
      </c>
      <c r="D9" s="21">
        <v>-10.79</v>
      </c>
      <c r="E9" s="20" t="s">
        <v>15</v>
      </c>
      <c r="F9" s="20"/>
      <c r="G9" s="14"/>
      <c r="H9" s="7" t="s">
        <v>12</v>
      </c>
      <c r="I9" s="24">
        <v>330</v>
      </c>
      <c r="J9" s="28">
        <v>330</v>
      </c>
    </row>
    <row r="10" spans="1:10" x14ac:dyDescent="0.2">
      <c r="A10" s="23">
        <v>45706</v>
      </c>
      <c r="B10" s="20" t="s">
        <v>37</v>
      </c>
      <c r="C10" s="20" t="s">
        <v>43</v>
      </c>
      <c r="D10" s="21">
        <v>115</v>
      </c>
      <c r="E10" s="20" t="s">
        <v>25</v>
      </c>
      <c r="F10" s="20"/>
      <c r="G10" s="14"/>
      <c r="H10" s="7" t="s">
        <v>13</v>
      </c>
      <c r="I10" s="24">
        <v>84</v>
      </c>
      <c r="J10" s="28">
        <v>84</v>
      </c>
    </row>
    <row r="11" spans="1:10" x14ac:dyDescent="0.2">
      <c r="A11" s="23">
        <v>45705</v>
      </c>
      <c r="B11" s="20" t="s">
        <v>37</v>
      </c>
      <c r="C11" s="20" t="s">
        <v>42</v>
      </c>
      <c r="D11" s="21">
        <v>-9.98</v>
      </c>
      <c r="E11" s="20" t="s">
        <v>16</v>
      </c>
      <c r="F11" s="20"/>
      <c r="G11" s="14"/>
      <c r="H11" s="4"/>
      <c r="I11" s="4">
        <f>SUM(J2:J10)</f>
        <v>1190</v>
      </c>
    </row>
    <row r="12" spans="1:10" x14ac:dyDescent="0.2">
      <c r="A12" s="23">
        <v>45705</v>
      </c>
      <c r="B12" s="20" t="s">
        <v>37</v>
      </c>
      <c r="C12" s="20" t="s">
        <v>45</v>
      </c>
      <c r="D12" s="21">
        <v>-40</v>
      </c>
      <c r="E12" s="20" t="s">
        <v>24</v>
      </c>
      <c r="F12" s="20" t="s">
        <v>52</v>
      </c>
      <c r="G12" s="14"/>
      <c r="H12" s="4"/>
      <c r="I12" s="4"/>
    </row>
    <row r="13" spans="1:10" ht="20" x14ac:dyDescent="0.25">
      <c r="A13" s="23">
        <v>45704</v>
      </c>
      <c r="B13" s="20" t="s">
        <v>37</v>
      </c>
      <c r="C13" s="20" t="s">
        <v>46</v>
      </c>
      <c r="D13" s="21">
        <v>-41.99</v>
      </c>
      <c r="E13" s="20" t="s">
        <v>18</v>
      </c>
      <c r="F13" s="20" t="s">
        <v>51</v>
      </c>
      <c r="G13" s="14"/>
      <c r="H13" s="17" t="s">
        <v>14</v>
      </c>
      <c r="I13" s="17"/>
    </row>
    <row r="14" spans="1:10" x14ac:dyDescent="0.2">
      <c r="A14" s="23">
        <v>45703</v>
      </c>
      <c r="B14" s="20" t="s">
        <v>37</v>
      </c>
      <c r="C14" s="20" t="s">
        <v>43</v>
      </c>
      <c r="D14" s="21">
        <v>100</v>
      </c>
      <c r="E14" s="20" t="s">
        <v>25</v>
      </c>
      <c r="F14" s="20"/>
      <c r="G14" s="14"/>
      <c r="H14" s="5" t="s">
        <v>15</v>
      </c>
      <c r="I14" s="5">
        <f>SUMIFS(D2:D397,E2:E397, "Groceries")</f>
        <v>-39.679999999999993</v>
      </c>
    </row>
    <row r="15" spans="1:10" x14ac:dyDescent="0.2">
      <c r="A15" s="23">
        <v>45702</v>
      </c>
      <c r="B15" s="20" t="s">
        <v>37</v>
      </c>
      <c r="C15" s="20" t="s">
        <v>43</v>
      </c>
      <c r="D15" s="21">
        <v>70</v>
      </c>
      <c r="E15" s="20" t="s">
        <v>25</v>
      </c>
      <c r="F15" s="20"/>
      <c r="G15" s="14"/>
      <c r="H15" s="5" t="s">
        <v>16</v>
      </c>
      <c r="I15" s="5">
        <f>SUMIFS(D2:D397,E2:E397, "Transportation")</f>
        <v>-52.57</v>
      </c>
    </row>
    <row r="16" spans="1:10" x14ac:dyDescent="0.2">
      <c r="A16" s="23">
        <v>45699</v>
      </c>
      <c r="B16" s="20" t="s">
        <v>37</v>
      </c>
      <c r="C16" s="20" t="s">
        <v>47</v>
      </c>
      <c r="D16" s="21">
        <v>-62.47</v>
      </c>
      <c r="E16" s="20" t="s">
        <v>18</v>
      </c>
      <c r="F16" s="20" t="s">
        <v>48</v>
      </c>
      <c r="G16" s="14"/>
      <c r="H16" s="5" t="s">
        <v>17</v>
      </c>
      <c r="I16" s="5">
        <f>SUMIFS(D2:D397,E2:E397, H16)</f>
        <v>-105.53999999999996</v>
      </c>
    </row>
    <row r="17" spans="1:9" x14ac:dyDescent="0.2">
      <c r="A17" s="23">
        <v>45691</v>
      </c>
      <c r="B17" s="20" t="s">
        <v>37</v>
      </c>
      <c r="C17" s="20" t="s">
        <v>45</v>
      </c>
      <c r="D17" s="21">
        <v>-30</v>
      </c>
      <c r="E17" s="20" t="s">
        <v>24</v>
      </c>
      <c r="F17" s="20" t="s">
        <v>53</v>
      </c>
      <c r="G17" s="14"/>
      <c r="H17" s="5" t="s">
        <v>18</v>
      </c>
      <c r="I17" s="5">
        <f>SUMIFS(D2:D397,E2:E397, H17)</f>
        <v>-216.73000000000005</v>
      </c>
    </row>
    <row r="18" spans="1:9" x14ac:dyDescent="0.2">
      <c r="A18" s="23">
        <v>45691</v>
      </c>
      <c r="B18" s="20" t="s">
        <v>37</v>
      </c>
      <c r="C18" s="20" t="s">
        <v>49</v>
      </c>
      <c r="D18" s="21">
        <v>-20</v>
      </c>
      <c r="E18" s="20" t="s">
        <v>26</v>
      </c>
      <c r="F18" s="20" t="s">
        <v>50</v>
      </c>
      <c r="G18" s="14"/>
      <c r="H18" s="5" t="s">
        <v>19</v>
      </c>
      <c r="I18" s="5">
        <f>SUMIFS(D2:D397,E2:E397, H18)</f>
        <v>0</v>
      </c>
    </row>
    <row r="19" spans="1:9" x14ac:dyDescent="0.2">
      <c r="A19" s="23">
        <v>45708</v>
      </c>
      <c r="B19" s="20" t="s">
        <v>54</v>
      </c>
      <c r="C19" s="20" t="s">
        <v>55</v>
      </c>
      <c r="D19" s="20">
        <v>-0.92</v>
      </c>
      <c r="E19" s="20" t="s">
        <v>15</v>
      </c>
      <c r="F19" s="20"/>
      <c r="G19" s="14"/>
      <c r="H19" s="5" t="s">
        <v>20</v>
      </c>
      <c r="I19" s="5">
        <f>SUMIFS(D2:D397,E2:E397, H19)</f>
        <v>0</v>
      </c>
    </row>
    <row r="20" spans="1:9" x14ac:dyDescent="0.2">
      <c r="A20" s="23">
        <v>45708</v>
      </c>
      <c r="B20" s="20" t="s">
        <v>54</v>
      </c>
      <c r="C20" s="20" t="s">
        <v>56</v>
      </c>
      <c r="D20" s="20">
        <v>-0.3</v>
      </c>
      <c r="E20" s="20" t="s">
        <v>17</v>
      </c>
      <c r="F20" s="20"/>
      <c r="G20" s="14"/>
      <c r="H20" s="5" t="s">
        <v>21</v>
      </c>
      <c r="I20" s="5">
        <f>SUMIFS(D2:D397,E2:E397, H20)</f>
        <v>-24.01</v>
      </c>
    </row>
    <row r="21" spans="1:9" x14ac:dyDescent="0.2">
      <c r="A21" s="23">
        <v>45701</v>
      </c>
      <c r="B21" s="20" t="s">
        <v>54</v>
      </c>
      <c r="C21" s="20" t="s">
        <v>57</v>
      </c>
      <c r="D21" s="20">
        <v>-3.58</v>
      </c>
      <c r="E21" s="20" t="s">
        <v>15</v>
      </c>
      <c r="F21" s="20"/>
      <c r="G21" s="14"/>
      <c r="H21" s="5" t="s">
        <v>22</v>
      </c>
      <c r="I21" s="5">
        <f>SUMIFS(D2:D397,E2:E397, H21)</f>
        <v>0</v>
      </c>
    </row>
    <row r="22" spans="1:9" x14ac:dyDescent="0.2">
      <c r="A22" s="23">
        <v>45700</v>
      </c>
      <c r="B22" s="20" t="s">
        <v>54</v>
      </c>
      <c r="C22" s="20" t="s">
        <v>58</v>
      </c>
      <c r="D22" s="20">
        <v>-4.37</v>
      </c>
      <c r="E22" s="20" t="s">
        <v>15</v>
      </c>
      <c r="F22" s="20"/>
      <c r="G22" s="14"/>
      <c r="H22" s="5" t="s">
        <v>23</v>
      </c>
      <c r="I22" s="5">
        <f>SUMIFS(D2:D397,E2:E397, H22)</f>
        <v>0</v>
      </c>
    </row>
    <row r="23" spans="1:9" x14ac:dyDescent="0.2">
      <c r="A23" s="23">
        <v>45689</v>
      </c>
      <c r="B23" s="20" t="s">
        <v>54</v>
      </c>
      <c r="C23" s="20" t="s">
        <v>59</v>
      </c>
      <c r="D23" s="20">
        <v>-3.5</v>
      </c>
      <c r="E23" s="20" t="s">
        <v>21</v>
      </c>
      <c r="F23" s="20"/>
      <c r="G23" s="14"/>
      <c r="H23" s="5" t="s">
        <v>24</v>
      </c>
      <c r="I23" s="5">
        <f>SUMIFS(D2:D397,E2:E397, H23)</f>
        <v>-70</v>
      </c>
    </row>
    <row r="24" spans="1:9" x14ac:dyDescent="0.2">
      <c r="A24" s="23">
        <v>45688</v>
      </c>
      <c r="B24" s="20" t="s">
        <v>60</v>
      </c>
      <c r="C24" s="20" t="s">
        <v>61</v>
      </c>
      <c r="D24" s="20">
        <v>-7.99</v>
      </c>
      <c r="E24" s="20" t="s">
        <v>21</v>
      </c>
      <c r="F24" s="20"/>
      <c r="G24" s="14"/>
      <c r="H24" s="5" t="s">
        <v>26</v>
      </c>
      <c r="I24" s="5">
        <f>SUMIFS(D2:D397,E2:E397, H24)</f>
        <v>-41.49</v>
      </c>
    </row>
    <row r="25" spans="1:9" x14ac:dyDescent="0.2">
      <c r="A25" s="23">
        <v>45690</v>
      </c>
      <c r="B25" s="20" t="s">
        <v>60</v>
      </c>
      <c r="C25" s="20" t="s">
        <v>62</v>
      </c>
      <c r="D25" s="20">
        <v>-6</v>
      </c>
      <c r="E25" s="20" t="s">
        <v>26</v>
      </c>
      <c r="F25" s="20"/>
      <c r="G25" s="14"/>
      <c r="H25" s="6" t="s">
        <v>27</v>
      </c>
      <c r="I25" s="6">
        <f>SUM(I14:I24)</f>
        <v>-550.02</v>
      </c>
    </row>
    <row r="26" spans="1:9" x14ac:dyDescent="0.2">
      <c r="A26" s="23">
        <v>45690</v>
      </c>
      <c r="B26" s="20" t="s">
        <v>60</v>
      </c>
      <c r="C26" s="20" t="s">
        <v>62</v>
      </c>
      <c r="D26" s="20">
        <v>-3</v>
      </c>
      <c r="E26" s="20" t="s">
        <v>26</v>
      </c>
      <c r="F26" s="20"/>
      <c r="G26" s="14"/>
      <c r="H26" s="18"/>
      <c r="I26" s="19"/>
    </row>
    <row r="27" spans="1:9" x14ac:dyDescent="0.2">
      <c r="A27" s="23">
        <v>45689</v>
      </c>
      <c r="B27" s="20" t="s">
        <v>60</v>
      </c>
      <c r="C27" s="20" t="s">
        <v>63</v>
      </c>
      <c r="D27" s="20">
        <v>-5.15</v>
      </c>
      <c r="E27" s="20" t="s">
        <v>17</v>
      </c>
      <c r="F27" s="20"/>
      <c r="H27" s="7" t="s">
        <v>25</v>
      </c>
      <c r="I27" s="8">
        <f>SUMIFS(D2:D397,E2:E397, H27)</f>
        <v>305</v>
      </c>
    </row>
    <row r="28" spans="1:9" x14ac:dyDescent="0.2">
      <c r="A28" s="23">
        <v>45691</v>
      </c>
      <c r="B28" s="20" t="s">
        <v>60</v>
      </c>
      <c r="C28" s="20" t="s">
        <v>64</v>
      </c>
      <c r="D28" s="20">
        <v>-0.94</v>
      </c>
      <c r="E28" s="20" t="s">
        <v>17</v>
      </c>
      <c r="F28" s="20"/>
      <c r="I28" s="9">
        <f>I27+I25</f>
        <v>-245.01999999999998</v>
      </c>
    </row>
    <row r="29" spans="1:9" x14ac:dyDescent="0.2">
      <c r="A29" s="23">
        <v>45692</v>
      </c>
      <c r="B29" s="20" t="s">
        <v>60</v>
      </c>
      <c r="C29" s="20" t="s">
        <v>62</v>
      </c>
      <c r="D29" s="20">
        <v>-5</v>
      </c>
      <c r="E29" s="20" t="s">
        <v>26</v>
      </c>
    </row>
    <row r="30" spans="1:9" x14ac:dyDescent="0.2">
      <c r="A30" s="23">
        <v>45692</v>
      </c>
      <c r="B30" s="20" t="s">
        <v>60</v>
      </c>
      <c r="C30" s="20" t="s">
        <v>62</v>
      </c>
      <c r="D30" s="20">
        <v>-2</v>
      </c>
      <c r="E30" s="20" t="s">
        <v>26</v>
      </c>
    </row>
    <row r="31" spans="1:9" x14ac:dyDescent="0.2">
      <c r="A31" s="23">
        <v>45693</v>
      </c>
      <c r="B31" s="20" t="s">
        <v>60</v>
      </c>
      <c r="C31" s="20" t="s">
        <v>65</v>
      </c>
      <c r="D31" s="20">
        <v>-2.2999999999999998</v>
      </c>
      <c r="E31" s="20" t="s">
        <v>17</v>
      </c>
    </row>
    <row r="32" spans="1:9" x14ac:dyDescent="0.2">
      <c r="A32" s="23">
        <v>45693</v>
      </c>
      <c r="B32" s="20" t="s">
        <v>60</v>
      </c>
      <c r="C32" s="20" t="s">
        <v>66</v>
      </c>
      <c r="D32" s="20">
        <v>-6.34</v>
      </c>
      <c r="E32" s="20" t="s">
        <v>18</v>
      </c>
    </row>
    <row r="33" spans="1:5" x14ac:dyDescent="0.2">
      <c r="A33" s="23">
        <v>45694</v>
      </c>
      <c r="B33" s="20" t="s">
        <v>60</v>
      </c>
      <c r="C33" s="20" t="s">
        <v>67</v>
      </c>
      <c r="D33" s="20">
        <v>-2</v>
      </c>
      <c r="E33" s="20" t="s">
        <v>17</v>
      </c>
    </row>
    <row r="34" spans="1:5" x14ac:dyDescent="0.2">
      <c r="A34" s="23">
        <v>45693</v>
      </c>
      <c r="B34" s="20" t="s">
        <v>60</v>
      </c>
      <c r="C34" s="20" t="s">
        <v>68</v>
      </c>
      <c r="D34" s="20">
        <v>-2.65</v>
      </c>
      <c r="E34" s="20" t="s">
        <v>15</v>
      </c>
    </row>
    <row r="35" spans="1:5" x14ac:dyDescent="0.2">
      <c r="A35" s="23">
        <v>45693</v>
      </c>
      <c r="B35" s="20" t="s">
        <v>60</v>
      </c>
      <c r="C35" s="20" t="s">
        <v>69</v>
      </c>
      <c r="D35" s="20">
        <v>-15.7</v>
      </c>
      <c r="E35" s="20" t="s">
        <v>17</v>
      </c>
    </row>
    <row r="36" spans="1:5" x14ac:dyDescent="0.2">
      <c r="A36" s="23">
        <v>45694</v>
      </c>
      <c r="B36" s="20" t="s">
        <v>60</v>
      </c>
      <c r="C36" s="20" t="s">
        <v>70</v>
      </c>
      <c r="D36" s="20">
        <v>-3</v>
      </c>
      <c r="E36" s="20" t="s">
        <v>17</v>
      </c>
    </row>
    <row r="37" spans="1:5" x14ac:dyDescent="0.2">
      <c r="A37" s="23">
        <v>45695</v>
      </c>
      <c r="B37" s="20" t="s">
        <v>60</v>
      </c>
      <c r="C37" s="20" t="s">
        <v>65</v>
      </c>
      <c r="D37" s="20">
        <v>-2.2999999999999998</v>
      </c>
      <c r="E37" s="20" t="s">
        <v>17</v>
      </c>
    </row>
    <row r="38" spans="1:5" x14ac:dyDescent="0.2">
      <c r="A38" s="23">
        <v>45695</v>
      </c>
      <c r="B38" s="20" t="s">
        <v>60</v>
      </c>
      <c r="C38" s="20" t="s">
        <v>71</v>
      </c>
      <c r="D38" s="20">
        <v>-10.01</v>
      </c>
      <c r="E38" s="20" t="s">
        <v>16</v>
      </c>
    </row>
    <row r="39" spans="1:5" x14ac:dyDescent="0.2">
      <c r="A39" s="23">
        <v>45695</v>
      </c>
      <c r="B39" s="20" t="s">
        <v>60</v>
      </c>
      <c r="C39" s="20" t="s">
        <v>66</v>
      </c>
      <c r="D39" s="20">
        <v>-9.49</v>
      </c>
      <c r="E39" s="20" t="s">
        <v>18</v>
      </c>
    </row>
    <row r="40" spans="1:5" x14ac:dyDescent="0.2">
      <c r="A40" s="23">
        <v>45695</v>
      </c>
      <c r="B40" s="20" t="s">
        <v>60</v>
      </c>
      <c r="C40" s="20" t="s">
        <v>66</v>
      </c>
      <c r="D40" s="20">
        <v>-1.05</v>
      </c>
      <c r="E40" s="20" t="s">
        <v>18</v>
      </c>
    </row>
    <row r="41" spans="1:5" x14ac:dyDescent="0.2">
      <c r="A41" s="23">
        <v>45695</v>
      </c>
      <c r="B41" s="20" t="s">
        <v>60</v>
      </c>
      <c r="C41" s="20" t="s">
        <v>64</v>
      </c>
      <c r="D41" s="20">
        <v>-1.4</v>
      </c>
      <c r="E41" s="20" t="s">
        <v>17</v>
      </c>
    </row>
    <row r="42" spans="1:5" x14ac:dyDescent="0.2">
      <c r="A42" s="23">
        <v>45696</v>
      </c>
      <c r="B42" s="20" t="s">
        <v>60</v>
      </c>
      <c r="C42" s="20" t="s">
        <v>72</v>
      </c>
      <c r="D42" s="20">
        <v>-8.1999999999999993</v>
      </c>
      <c r="E42" s="20" t="s">
        <v>17</v>
      </c>
    </row>
    <row r="43" spans="1:5" x14ac:dyDescent="0.2">
      <c r="A43" s="23">
        <v>45696</v>
      </c>
      <c r="B43" s="20" t="s">
        <v>60</v>
      </c>
      <c r="C43" s="20" t="s">
        <v>73</v>
      </c>
      <c r="D43" s="20">
        <v>-2.38</v>
      </c>
      <c r="E43" s="20" t="s">
        <v>17</v>
      </c>
    </row>
    <row r="44" spans="1:5" x14ac:dyDescent="0.2">
      <c r="A44" s="23">
        <v>45698</v>
      </c>
      <c r="B44" s="20" t="s">
        <v>60</v>
      </c>
      <c r="C44" s="20" t="s">
        <v>74</v>
      </c>
      <c r="D44" s="20">
        <v>-1.3</v>
      </c>
      <c r="E44" s="20" t="s">
        <v>17</v>
      </c>
    </row>
    <row r="45" spans="1:5" x14ac:dyDescent="0.2">
      <c r="A45" s="23">
        <v>45698</v>
      </c>
      <c r="B45" s="20" t="s">
        <v>60</v>
      </c>
      <c r="C45" s="20" t="s">
        <v>75</v>
      </c>
      <c r="D45" s="20">
        <v>-1.1200000000000001</v>
      </c>
      <c r="E45" s="20" t="s">
        <v>16</v>
      </c>
    </row>
    <row r="46" spans="1:5" x14ac:dyDescent="0.2">
      <c r="A46" s="23">
        <v>45699</v>
      </c>
      <c r="B46" s="20" t="s">
        <v>60</v>
      </c>
      <c r="C46" s="20" t="s">
        <v>76</v>
      </c>
      <c r="D46" s="20">
        <v>-6.49</v>
      </c>
      <c r="E46" s="20" t="s">
        <v>21</v>
      </c>
    </row>
    <row r="47" spans="1:5" x14ac:dyDescent="0.2">
      <c r="A47" s="23">
        <v>45700</v>
      </c>
      <c r="B47" s="20" t="s">
        <v>60</v>
      </c>
      <c r="C47" s="20" t="s">
        <v>65</v>
      </c>
      <c r="D47" s="20">
        <v>-2.2999999999999998</v>
      </c>
      <c r="E47" s="20" t="s">
        <v>17</v>
      </c>
    </row>
    <row r="48" spans="1:5" x14ac:dyDescent="0.2">
      <c r="A48" s="23">
        <v>45698</v>
      </c>
      <c r="B48" s="20" t="s">
        <v>60</v>
      </c>
      <c r="C48" s="20" t="s">
        <v>73</v>
      </c>
      <c r="D48" s="20">
        <v>-0.33</v>
      </c>
      <c r="E48" s="20" t="s">
        <v>15</v>
      </c>
    </row>
    <row r="49" spans="1:6" x14ac:dyDescent="0.2">
      <c r="A49" s="23">
        <v>45701</v>
      </c>
      <c r="B49" s="20" t="s">
        <v>60</v>
      </c>
      <c r="C49" s="20" t="s">
        <v>64</v>
      </c>
      <c r="D49" s="20">
        <v>-0.65</v>
      </c>
      <c r="E49" s="20" t="s">
        <v>17</v>
      </c>
    </row>
    <row r="50" spans="1:6" x14ac:dyDescent="0.2">
      <c r="A50" s="23">
        <v>45701</v>
      </c>
      <c r="B50" s="20" t="s">
        <v>60</v>
      </c>
      <c r="C50" s="20" t="s">
        <v>64</v>
      </c>
      <c r="D50" s="20">
        <v>-1</v>
      </c>
      <c r="E50" s="20" t="s">
        <v>17</v>
      </c>
    </row>
    <row r="51" spans="1:6" x14ac:dyDescent="0.2">
      <c r="A51" s="23">
        <v>45702</v>
      </c>
      <c r="B51" s="20" t="s">
        <v>60</v>
      </c>
      <c r="C51" s="20" t="s">
        <v>65</v>
      </c>
      <c r="D51" s="20">
        <v>-2.6</v>
      </c>
      <c r="E51" s="20" t="s">
        <v>17</v>
      </c>
    </row>
    <row r="52" spans="1:6" x14ac:dyDescent="0.2">
      <c r="A52" s="23">
        <v>45702</v>
      </c>
      <c r="B52" s="20" t="s">
        <v>60</v>
      </c>
      <c r="C52" s="20" t="s">
        <v>64</v>
      </c>
      <c r="D52" s="20">
        <v>-1.49</v>
      </c>
      <c r="E52" s="20" t="s">
        <v>17</v>
      </c>
    </row>
    <row r="53" spans="1:6" x14ac:dyDescent="0.2">
      <c r="A53" s="23">
        <v>45703</v>
      </c>
      <c r="B53" s="20" t="s">
        <v>60</v>
      </c>
      <c r="C53" s="20" t="s">
        <v>72</v>
      </c>
      <c r="D53" s="20">
        <v>-7.5</v>
      </c>
      <c r="E53" s="20" t="s">
        <v>17</v>
      </c>
    </row>
    <row r="54" spans="1:6" x14ac:dyDescent="0.2">
      <c r="A54" s="23">
        <v>45705</v>
      </c>
      <c r="B54" s="20" t="s">
        <v>60</v>
      </c>
      <c r="C54" s="20" t="s">
        <v>65</v>
      </c>
      <c r="D54" s="20">
        <v>-2.2999999999999998</v>
      </c>
      <c r="E54" s="20" t="s">
        <v>17</v>
      </c>
    </row>
    <row r="55" spans="1:6" x14ac:dyDescent="0.2">
      <c r="A55" s="23">
        <v>45705</v>
      </c>
      <c r="B55" s="20" t="s">
        <v>60</v>
      </c>
      <c r="C55" s="20" t="s">
        <v>77</v>
      </c>
      <c r="D55" s="20">
        <v>-15.74</v>
      </c>
      <c r="E55" s="20" t="s">
        <v>18</v>
      </c>
      <c r="F55" s="20" t="s">
        <v>87</v>
      </c>
    </row>
    <row r="56" spans="1:6" x14ac:dyDescent="0.2">
      <c r="A56" s="23">
        <v>45705</v>
      </c>
      <c r="B56" s="20" t="s">
        <v>60</v>
      </c>
      <c r="C56" s="20" t="s">
        <v>70</v>
      </c>
      <c r="D56" s="20">
        <v>-3</v>
      </c>
      <c r="E56" s="20" t="s">
        <v>17</v>
      </c>
    </row>
    <row r="57" spans="1:6" x14ac:dyDescent="0.2">
      <c r="A57" s="23">
        <v>45706</v>
      </c>
      <c r="B57" s="20" t="s">
        <v>60</v>
      </c>
      <c r="C57" s="20" t="s">
        <v>78</v>
      </c>
      <c r="D57" s="20">
        <v>-2.5499999999999998</v>
      </c>
      <c r="E57" s="20" t="s">
        <v>15</v>
      </c>
    </row>
    <row r="58" spans="1:6" x14ac:dyDescent="0.2">
      <c r="A58" s="23">
        <v>45707</v>
      </c>
      <c r="B58" s="20" t="s">
        <v>60</v>
      </c>
      <c r="C58" s="20" t="s">
        <v>79</v>
      </c>
      <c r="D58" s="20">
        <v>-6.03</v>
      </c>
      <c r="E58" s="20" t="s">
        <v>21</v>
      </c>
    </row>
    <row r="59" spans="1:6" x14ac:dyDescent="0.2">
      <c r="A59" s="23">
        <v>45707</v>
      </c>
      <c r="B59" s="20" t="s">
        <v>60</v>
      </c>
      <c r="C59" s="20" t="s">
        <v>80</v>
      </c>
      <c r="D59" s="20">
        <v>-1.75</v>
      </c>
      <c r="E59" s="20" t="s">
        <v>18</v>
      </c>
    </row>
    <row r="60" spans="1:6" x14ac:dyDescent="0.2">
      <c r="A60" s="23">
        <v>45707</v>
      </c>
      <c r="B60" s="20" t="s">
        <v>60</v>
      </c>
      <c r="C60" s="20" t="s">
        <v>64</v>
      </c>
      <c r="D60" s="20">
        <v>-1.4</v>
      </c>
      <c r="E60" s="20" t="s">
        <v>17</v>
      </c>
    </row>
    <row r="61" spans="1:6" x14ac:dyDescent="0.2">
      <c r="A61" s="23">
        <v>45707</v>
      </c>
      <c r="B61" s="20" t="s">
        <v>60</v>
      </c>
      <c r="C61" s="20" t="s">
        <v>81</v>
      </c>
      <c r="D61" s="20">
        <v>-0.96</v>
      </c>
      <c r="E61" s="20" t="s">
        <v>17</v>
      </c>
    </row>
    <row r="62" spans="1:6" x14ac:dyDescent="0.2">
      <c r="A62" s="23">
        <v>45708</v>
      </c>
      <c r="B62" s="20" t="s">
        <v>60</v>
      </c>
      <c r="C62" s="20" t="s">
        <v>65</v>
      </c>
      <c r="D62" s="20">
        <v>-2.2999999999999998</v>
      </c>
      <c r="E62" s="20" t="s">
        <v>17</v>
      </c>
    </row>
    <row r="63" spans="1:6" x14ac:dyDescent="0.2">
      <c r="A63" s="23">
        <v>45708</v>
      </c>
      <c r="B63" s="20" t="s">
        <v>60</v>
      </c>
      <c r="C63" s="20" t="s">
        <v>69</v>
      </c>
      <c r="D63" s="20">
        <v>-3.6</v>
      </c>
      <c r="E63" s="20" t="s">
        <v>17</v>
      </c>
    </row>
    <row r="64" spans="1:6" x14ac:dyDescent="0.2">
      <c r="A64" s="23">
        <v>45708</v>
      </c>
      <c r="B64" s="20" t="s">
        <v>60</v>
      </c>
      <c r="C64" s="20" t="s">
        <v>64</v>
      </c>
      <c r="D64" s="20">
        <v>-1.74</v>
      </c>
      <c r="E64" s="20" t="s">
        <v>17</v>
      </c>
    </row>
    <row r="65" spans="1:5" x14ac:dyDescent="0.2">
      <c r="A65" s="23">
        <v>45708</v>
      </c>
      <c r="B65" s="20" t="s">
        <v>60</v>
      </c>
      <c r="C65" s="20" t="s">
        <v>64</v>
      </c>
      <c r="D65" s="20">
        <v>-2.2200000000000002</v>
      </c>
      <c r="E65" s="20" t="s">
        <v>17</v>
      </c>
    </row>
    <row r="66" spans="1:5" x14ac:dyDescent="0.2">
      <c r="A66" s="23">
        <v>45710</v>
      </c>
      <c r="B66" s="20" t="s">
        <v>60</v>
      </c>
      <c r="C66" s="20" t="s">
        <v>64</v>
      </c>
      <c r="D66" s="20">
        <v>-0.83</v>
      </c>
      <c r="E66" s="20" t="s">
        <v>17</v>
      </c>
    </row>
    <row r="67" spans="1:5" x14ac:dyDescent="0.2">
      <c r="A67" s="23">
        <v>45710</v>
      </c>
      <c r="B67" s="20" t="s">
        <v>60</v>
      </c>
      <c r="C67" s="20" t="s">
        <v>64</v>
      </c>
      <c r="D67" s="20">
        <v>-0.3</v>
      </c>
      <c r="E67" s="20" t="s">
        <v>17</v>
      </c>
    </row>
    <row r="68" spans="1:5" x14ac:dyDescent="0.2">
      <c r="A68" s="23">
        <v>45711</v>
      </c>
      <c r="B68" s="20" t="s">
        <v>60</v>
      </c>
      <c r="C68" s="20" t="s">
        <v>72</v>
      </c>
      <c r="D68" s="20">
        <v>-9.75</v>
      </c>
      <c r="E68" s="20" t="s">
        <v>17</v>
      </c>
    </row>
    <row r="69" spans="1:5" x14ac:dyDescent="0.2">
      <c r="A69" s="23">
        <v>45711</v>
      </c>
      <c r="B69" s="20" t="s">
        <v>60</v>
      </c>
      <c r="C69" s="20" t="s">
        <v>82</v>
      </c>
      <c r="D69" s="20">
        <v>-10.07</v>
      </c>
      <c r="E69" s="20" t="s">
        <v>16</v>
      </c>
    </row>
    <row r="70" spans="1:5" x14ac:dyDescent="0.2">
      <c r="A70" s="23">
        <v>45712</v>
      </c>
      <c r="B70" s="20" t="s">
        <v>60</v>
      </c>
      <c r="C70" s="20" t="s">
        <v>64</v>
      </c>
      <c r="D70" s="20">
        <v>-0.48</v>
      </c>
      <c r="E70" s="20" t="s">
        <v>17</v>
      </c>
    </row>
    <row r="71" spans="1:5" x14ac:dyDescent="0.2">
      <c r="A71" s="23">
        <v>45712</v>
      </c>
      <c r="B71" s="20" t="s">
        <v>60</v>
      </c>
      <c r="C71" s="20" t="s">
        <v>64</v>
      </c>
      <c r="D71" s="20">
        <v>-1.07</v>
      </c>
      <c r="E71" s="20" t="s">
        <v>17</v>
      </c>
    </row>
    <row r="72" spans="1:5" x14ac:dyDescent="0.2">
      <c r="A72" s="23">
        <v>45712</v>
      </c>
      <c r="B72" s="20" t="s">
        <v>60</v>
      </c>
      <c r="C72" s="20" t="s">
        <v>64</v>
      </c>
      <c r="D72" s="20">
        <v>-0.3</v>
      </c>
      <c r="E72" s="20" t="s">
        <v>17</v>
      </c>
    </row>
    <row r="73" spans="1:5" x14ac:dyDescent="0.2">
      <c r="A73" s="23">
        <v>45713</v>
      </c>
      <c r="B73" s="20" t="s">
        <v>60</v>
      </c>
      <c r="C73" s="20" t="s">
        <v>83</v>
      </c>
      <c r="D73" s="20">
        <v>-3.2</v>
      </c>
      <c r="E73" s="20" t="s">
        <v>16</v>
      </c>
    </row>
    <row r="74" spans="1:5" x14ac:dyDescent="0.2">
      <c r="A74" s="23">
        <v>45713</v>
      </c>
      <c r="B74" s="20" t="s">
        <v>60</v>
      </c>
      <c r="C74" s="20" t="s">
        <v>76</v>
      </c>
      <c r="D74" s="20">
        <v>-2.4900000000000002</v>
      </c>
      <c r="E74" s="20" t="s">
        <v>26</v>
      </c>
    </row>
    <row r="75" spans="1:5" x14ac:dyDescent="0.2">
      <c r="A75" s="23">
        <v>45713</v>
      </c>
      <c r="B75" s="20" t="s">
        <v>60</v>
      </c>
      <c r="C75" s="20" t="s">
        <v>64</v>
      </c>
      <c r="D75" s="20">
        <v>-1.05</v>
      </c>
      <c r="E75" s="20" t="s">
        <v>17</v>
      </c>
    </row>
    <row r="76" spans="1:5" x14ac:dyDescent="0.2">
      <c r="A76" s="23">
        <v>45713</v>
      </c>
      <c r="B76" s="20" t="s">
        <v>60</v>
      </c>
      <c r="C76" s="20" t="s">
        <v>84</v>
      </c>
      <c r="D76" s="20">
        <v>-10.9</v>
      </c>
      <c r="E76" s="20" t="s">
        <v>17</v>
      </c>
    </row>
    <row r="77" spans="1:5" x14ac:dyDescent="0.2">
      <c r="A77" s="23">
        <v>45713</v>
      </c>
      <c r="B77" s="20" t="s">
        <v>60</v>
      </c>
      <c r="C77" s="20" t="s">
        <v>83</v>
      </c>
      <c r="D77" s="20">
        <v>-3.2</v>
      </c>
      <c r="E77" s="20" t="s">
        <v>16</v>
      </c>
    </row>
    <row r="78" spans="1:5" x14ac:dyDescent="0.2">
      <c r="A78" s="23">
        <v>45714</v>
      </c>
      <c r="B78" s="20" t="s">
        <v>60</v>
      </c>
      <c r="C78" s="20" t="s">
        <v>64</v>
      </c>
      <c r="D78" s="20">
        <v>-1.52</v>
      </c>
      <c r="E78" s="20" t="s">
        <v>17</v>
      </c>
    </row>
    <row r="79" spans="1:5" x14ac:dyDescent="0.2">
      <c r="A79" s="23">
        <v>45715</v>
      </c>
      <c r="B79" s="20" t="s">
        <v>60</v>
      </c>
      <c r="C79" s="20" t="s">
        <v>85</v>
      </c>
      <c r="D79" s="20">
        <v>-4.91</v>
      </c>
      <c r="E79" s="20" t="s">
        <v>15</v>
      </c>
    </row>
    <row r="80" spans="1:5" x14ac:dyDescent="0.2">
      <c r="D80" s="1">
        <f>SUM(D2:D79)</f>
        <v>-245.02000000000012</v>
      </c>
    </row>
  </sheetData>
  <mergeCells count="4">
    <mergeCell ref="G1:G26"/>
    <mergeCell ref="H1:I1"/>
    <mergeCell ref="H13:I13"/>
    <mergeCell ref="H26:I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CA17-7690-0D4A-96C3-EBF330FDC4AC}">
  <dimension ref="A1:H37"/>
  <sheetViews>
    <sheetView zoomScale="112" workbookViewId="0">
      <selection activeCell="D15" sqref="D15"/>
    </sheetView>
  </sheetViews>
  <sheetFormatPr baseColWidth="10" defaultRowHeight="16" x14ac:dyDescent="0.2"/>
  <cols>
    <col min="1" max="1" width="21.83203125" bestFit="1" customWidth="1"/>
    <col min="4" max="4" width="13.33203125" customWidth="1"/>
    <col min="5" max="5" width="9.83203125" customWidth="1"/>
  </cols>
  <sheetData>
    <row r="1" spans="1:8" x14ac:dyDescent="0.2">
      <c r="A1" t="s">
        <v>31</v>
      </c>
      <c r="B1" t="s">
        <v>32</v>
      </c>
      <c r="C1" t="s">
        <v>33</v>
      </c>
      <c r="D1" t="s">
        <v>34</v>
      </c>
      <c r="E1" s="13" t="s">
        <v>35</v>
      </c>
    </row>
    <row r="2" spans="1:8" x14ac:dyDescent="0.2">
      <c r="A2" s="11">
        <v>45689</v>
      </c>
      <c r="B2" t="s">
        <v>29</v>
      </c>
      <c r="C2">
        <v>4.6210000000000001E-2</v>
      </c>
      <c r="D2">
        <v>216.42</v>
      </c>
      <c r="E2" s="1">
        <f t="shared" ref="E2:E4" si="0">C2*D2</f>
        <v>10.0007682</v>
      </c>
      <c r="H2" t="s">
        <v>29</v>
      </c>
    </row>
    <row r="3" spans="1:8" x14ac:dyDescent="0.2">
      <c r="A3" s="10">
        <v>45691</v>
      </c>
      <c r="B3" t="s">
        <v>28</v>
      </c>
      <c r="C3">
        <v>7.0289999999999997E-3</v>
      </c>
      <c r="D3">
        <v>2845</v>
      </c>
      <c r="E3" s="1">
        <f t="shared" si="0"/>
        <v>19.997505</v>
      </c>
      <c r="H3" t="s">
        <v>28</v>
      </c>
    </row>
    <row r="4" spans="1:8" x14ac:dyDescent="0.2">
      <c r="A4" s="10">
        <v>45695</v>
      </c>
      <c r="B4" t="s">
        <v>28</v>
      </c>
      <c r="C4">
        <v>4.4140000000000004E-3</v>
      </c>
      <c r="D4">
        <v>2729</v>
      </c>
      <c r="E4" s="1">
        <f t="shared" si="0"/>
        <v>12.045806000000001</v>
      </c>
    </row>
    <row r="5" spans="1:8" x14ac:dyDescent="0.2">
      <c r="A5" s="10">
        <v>45700</v>
      </c>
      <c r="B5" t="s">
        <v>28</v>
      </c>
      <c r="C5" s="12">
        <v>7.6059999999999999E-3</v>
      </c>
      <c r="D5">
        <v>2629</v>
      </c>
      <c r="E5" s="1">
        <f>C5*D5</f>
        <v>19.996174</v>
      </c>
    </row>
    <row r="6" spans="1:8" x14ac:dyDescent="0.2">
      <c r="A6" s="10">
        <v>45704</v>
      </c>
      <c r="B6" t="s">
        <v>29</v>
      </c>
      <c r="C6">
        <v>0.1</v>
      </c>
      <c r="D6">
        <v>188.51</v>
      </c>
      <c r="E6" s="1">
        <f>C6*D6</f>
        <v>18.850999999999999</v>
      </c>
    </row>
    <row r="7" spans="1:8" x14ac:dyDescent="0.2">
      <c r="A7" s="10">
        <v>45712</v>
      </c>
      <c r="B7" t="s">
        <v>29</v>
      </c>
      <c r="C7">
        <v>0.1</v>
      </c>
      <c r="D7">
        <v>158.66999999999999</v>
      </c>
      <c r="E7" s="1">
        <f>C7*D7</f>
        <v>15.866999999999999</v>
      </c>
    </row>
    <row r="8" spans="1:8" x14ac:dyDescent="0.2">
      <c r="A8" s="10">
        <v>45713</v>
      </c>
      <c r="B8" t="s">
        <v>29</v>
      </c>
      <c r="C8" s="12">
        <v>0.1555</v>
      </c>
      <c r="D8" s="12">
        <v>135</v>
      </c>
      <c r="E8" s="1">
        <f>C8*D8</f>
        <v>20.9925</v>
      </c>
    </row>
    <row r="9" spans="1:8" x14ac:dyDescent="0.2">
      <c r="E9" s="1"/>
    </row>
    <row r="10" spans="1:8" x14ac:dyDescent="0.2">
      <c r="E10" s="1"/>
    </row>
    <row r="11" spans="1:8" x14ac:dyDescent="0.2">
      <c r="E11" s="1"/>
    </row>
    <row r="12" spans="1:8" x14ac:dyDescent="0.2">
      <c r="E12" s="1"/>
    </row>
    <row r="13" spans="1:8" x14ac:dyDescent="0.2">
      <c r="E13" s="1"/>
    </row>
    <row r="14" spans="1:8" x14ac:dyDescent="0.2">
      <c r="E14" s="1"/>
    </row>
    <row r="15" spans="1:8" x14ac:dyDescent="0.2">
      <c r="E15" s="1"/>
    </row>
    <row r="16" spans="1:8" x14ac:dyDescent="0.2">
      <c r="E16" s="1"/>
    </row>
    <row r="17" spans="5:5" x14ac:dyDescent="0.2">
      <c r="E17" s="1"/>
    </row>
    <row r="18" spans="5:5" x14ac:dyDescent="0.2">
      <c r="E18" s="1"/>
    </row>
    <row r="19" spans="5:5" x14ac:dyDescent="0.2">
      <c r="E19" s="1"/>
    </row>
    <row r="20" spans="5:5" x14ac:dyDescent="0.2">
      <c r="E20" s="1"/>
    </row>
    <row r="21" spans="5:5" x14ac:dyDescent="0.2">
      <c r="E21" s="1"/>
    </row>
    <row r="22" spans="5:5" x14ac:dyDescent="0.2">
      <c r="E22" s="1"/>
    </row>
    <row r="23" spans="5:5" x14ac:dyDescent="0.2">
      <c r="E23" s="1"/>
    </row>
    <row r="24" spans="5:5" x14ac:dyDescent="0.2">
      <c r="E24" s="1"/>
    </row>
    <row r="25" spans="5:5" x14ac:dyDescent="0.2">
      <c r="E25" s="1"/>
    </row>
    <row r="26" spans="5:5" x14ac:dyDescent="0.2">
      <c r="E26" s="1"/>
    </row>
    <row r="27" spans="5:5" x14ac:dyDescent="0.2">
      <c r="E27" s="1"/>
    </row>
    <row r="28" spans="5:5" x14ac:dyDescent="0.2">
      <c r="E28" s="1"/>
    </row>
    <row r="29" spans="5:5" x14ac:dyDescent="0.2">
      <c r="E29" s="1"/>
    </row>
    <row r="30" spans="5:5" x14ac:dyDescent="0.2">
      <c r="E30" s="1"/>
    </row>
    <row r="31" spans="5:5" x14ac:dyDescent="0.2">
      <c r="E31" s="1"/>
    </row>
    <row r="32" spans="5:5" x14ac:dyDescent="0.2">
      <c r="E32" s="1"/>
    </row>
    <row r="33" spans="5:5" x14ac:dyDescent="0.2">
      <c r="E33" s="1"/>
    </row>
    <row r="34" spans="5:5" x14ac:dyDescent="0.2">
      <c r="E34" s="1"/>
    </row>
    <row r="35" spans="5:5" x14ac:dyDescent="0.2">
      <c r="E35" s="1"/>
    </row>
    <row r="36" spans="5:5" x14ac:dyDescent="0.2">
      <c r="E36" s="1"/>
    </row>
    <row r="37" spans="5:5" x14ac:dyDescent="0.2">
      <c r="E37" s="1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47B3E-C628-2D45-986F-CCA8B2384672}">
  <dimension ref="A1:E3"/>
  <sheetViews>
    <sheetView zoomScale="150" workbookViewId="0">
      <selection activeCell="D8" sqref="D8"/>
    </sheetView>
  </sheetViews>
  <sheetFormatPr baseColWidth="10" defaultRowHeight="16" x14ac:dyDescent="0.2"/>
  <cols>
    <col min="4" max="4" width="16.6640625" customWidth="1"/>
  </cols>
  <sheetData>
    <row r="1" spans="1:5" x14ac:dyDescent="0.2">
      <c r="A1" t="s">
        <v>31</v>
      </c>
      <c r="B1" t="s">
        <v>32</v>
      </c>
      <c r="C1" t="s">
        <v>33</v>
      </c>
      <c r="D1" t="s">
        <v>88</v>
      </c>
      <c r="E1" t="s">
        <v>35</v>
      </c>
    </row>
    <row r="2" spans="1:5" x14ac:dyDescent="0.2">
      <c r="A2" s="10">
        <v>45712</v>
      </c>
      <c r="B2" t="s">
        <v>30</v>
      </c>
      <c r="C2">
        <v>0.1</v>
      </c>
      <c r="D2">
        <v>263.3</v>
      </c>
      <c r="E2">
        <f>D2*C2</f>
        <v>26.330000000000002</v>
      </c>
    </row>
    <row r="3" spans="1:5" x14ac:dyDescent="0.2">
      <c r="A3" s="10">
        <v>45716</v>
      </c>
      <c r="B3" t="s">
        <v>36</v>
      </c>
      <c r="C3">
        <v>0.2</v>
      </c>
      <c r="D3">
        <v>117.35</v>
      </c>
      <c r="E3">
        <f>C3*D3</f>
        <v>23.47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txs</vt:lpstr>
      <vt:lpstr>Crypto</vt:lpstr>
      <vt:lpstr>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Semeniuk</dc:creator>
  <cp:lastModifiedBy>Dmytro Semeniuk</cp:lastModifiedBy>
  <dcterms:created xsi:type="dcterms:W3CDTF">2025-01-01T23:49:02Z</dcterms:created>
  <dcterms:modified xsi:type="dcterms:W3CDTF">2025-03-02T10:57:14Z</dcterms:modified>
</cp:coreProperties>
</file>