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t/Documents/personal/Finances/2025/statements/march/filtered/"/>
    </mc:Choice>
  </mc:AlternateContent>
  <xr:revisionPtr revIDLastSave="0" documentId="13_ncr:1_{1B97A933-D937-6A44-A979-84C44B375DD8}" xr6:coauthVersionLast="47" xr6:coauthVersionMax="47" xr10:uidLastSave="{00000000-0000-0000-0000-000000000000}"/>
  <bookViews>
    <workbookView xWindow="4100" yWindow="1340" windowWidth="27040" windowHeight="15020" activeTab="3" xr2:uid="{A4DA4CB0-A381-E54B-8C32-31A5D4D85E96}"/>
  </bookViews>
  <sheets>
    <sheet name="Month txs" sheetId="1" r:id="rId1"/>
    <sheet name="Crypto" sheetId="2" r:id="rId2"/>
    <sheet name="Stocks" sheetId="3" r:id="rId3"/>
    <sheet name="Trip To Poland" sheetId="4" r:id="rId4"/>
  </sheets>
  <definedNames>
    <definedName name="_xlnm._FilterDatabase" localSheetId="0" hidden="1">'Month txs'!$A$1:$F$133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I11" i="1"/>
  <c r="I27" i="1"/>
  <c r="I24" i="1"/>
  <c r="I23" i="1"/>
  <c r="I22" i="1"/>
  <c r="I21" i="1"/>
  <c r="I20" i="1"/>
  <c r="I19" i="1"/>
  <c r="I18" i="1"/>
  <c r="I17" i="1"/>
  <c r="I16" i="1"/>
  <c r="I15" i="1"/>
  <c r="I14" i="1"/>
  <c r="I25" i="1" l="1"/>
  <c r="E3" i="3" l="1"/>
  <c r="E2" i="3"/>
</calcChain>
</file>

<file path=xl/sharedStrings.xml><?xml version="1.0" encoding="utf-8"?>
<sst xmlns="http://schemas.openxmlformats.org/spreadsheetml/2006/main" count="603" uniqueCount="119">
  <si>
    <t>DATE</t>
  </si>
  <si>
    <t>DESCRIPTION</t>
  </si>
  <si>
    <t>SUM</t>
  </si>
  <si>
    <t>CATEGORY</t>
  </si>
  <si>
    <t>NOTES</t>
  </si>
  <si>
    <t>REVOLUT</t>
  </si>
  <si>
    <t>PAYMENT METHOD</t>
  </si>
  <si>
    <t>CASH</t>
  </si>
  <si>
    <t>MONOBANK</t>
  </si>
  <si>
    <t>SUMMARY</t>
  </si>
  <si>
    <t>ERSTE</t>
  </si>
  <si>
    <t>CRYPTO INVESTMENTS</t>
  </si>
  <si>
    <t>EMERGENCY FUND</t>
  </si>
  <si>
    <t>MOVING OUT FUND</t>
  </si>
  <si>
    <t>SPENT BY CATEGORIES</t>
  </si>
  <si>
    <t>Groceries</t>
  </si>
  <si>
    <t>Transportation</t>
  </si>
  <si>
    <t>Dining &amp; Restoraunts</t>
  </si>
  <si>
    <t>Shopping</t>
  </si>
  <si>
    <t>Home</t>
  </si>
  <si>
    <t>Cash Withdrawals</t>
  </si>
  <si>
    <t>Entertainment &amp; Subscription</t>
  </si>
  <si>
    <t>Travelling</t>
  </si>
  <si>
    <t>Education &amp; Studying</t>
  </si>
  <si>
    <t>Investments</t>
  </si>
  <si>
    <t>Income</t>
  </si>
  <si>
    <t>Other</t>
  </si>
  <si>
    <t>Total spend</t>
  </si>
  <si>
    <t>Date</t>
  </si>
  <si>
    <t>Ticker</t>
  </si>
  <si>
    <t>Amount</t>
  </si>
  <si>
    <t>Price per Stock, $</t>
  </si>
  <si>
    <t>Sum, $</t>
  </si>
  <si>
    <t>AMD</t>
  </si>
  <si>
    <t>NVDA</t>
  </si>
  <si>
    <t>erste</t>
  </si>
  <si>
    <t>462765XXXXXX9899, WROCLAWSKI PARK WODN 04 65,83 PLN</t>
  </si>
  <si>
    <t>462765XXXXXX9899, WROCLAWSKI PARK WODN 04 261,00 PLN</t>
  </si>
  <si>
    <t>462765XXXXXX9899, Restauracja Smak na Tak 33,23 PLN</t>
  </si>
  <si>
    <t>U17357273</t>
  </si>
  <si>
    <t>Studentski centar Rijeka, SEMENIUK DMYTRO OŽUJAK rb. 554</t>
  </si>
  <si>
    <t>462765XXXXXX9899, MCDONALD'S KIOSK RIJEKA</t>
  </si>
  <si>
    <t>KEKS Pay - Plaćanje na prodajnom mjestu Cacao Tower Center - 194331369</t>
  </si>
  <si>
    <t>KEKS Pay - Plaćanje na prodajnom mjestu Cacao Tower Center - 194328222</t>
  </si>
  <si>
    <t>462765XXXXXX9899, CVJECARNICA DECORUS KUKULJANOVO</t>
  </si>
  <si>
    <t>flowers for mom and sister</t>
  </si>
  <si>
    <t>462765XXXXXX9899, ELEGANCE RIJEKA</t>
  </si>
  <si>
    <t>blouse</t>
  </si>
  <si>
    <t>462765XXXXXX9899, MCDONALD'S KIOSK KUKULJANOVO</t>
  </si>
  <si>
    <t>UPLATA NA DEPOZITNOM BANKOMATU</t>
  </si>
  <si>
    <t>monobank</t>
  </si>
  <si>
    <t>TREVISO SS DPR</t>
  </si>
  <si>
    <t>Train from treviso to mestre</t>
  </si>
  <si>
    <t>Google YouTubePremium</t>
  </si>
  <si>
    <t>MOBILIT? DI MARCA SPA</t>
  </si>
  <si>
    <t>Bus from airport to treviso</t>
  </si>
  <si>
    <t>PORT LOTNICZY WROCLAW</t>
  </si>
  <si>
    <t>Coffee</t>
  </si>
  <si>
    <t>PHZ BALTONA 005 WRO DF ZO</t>
  </si>
  <si>
    <t>Souvenirs</t>
  </si>
  <si>
    <t>Bilety Urbancard Wrocl</t>
  </si>
  <si>
    <t>AUCHAN WROCLAW ZWYC</t>
  </si>
  <si>
    <t>WOLT</t>
  </si>
  <si>
    <t>В'ячеслав К.</t>
  </si>
  <si>
    <t>BUS MARCO POLO</t>
  </si>
  <si>
    <t>Артем К.</t>
  </si>
  <si>
    <t>RESTORAN KAMPUS</t>
  </si>
  <si>
    <t>GAVRANOVIC P-209</t>
  </si>
  <si>
    <t>PORTMONE LTD*LIFECELL</t>
  </si>
  <si>
    <t>revolut</t>
  </si>
  <si>
    <t>Restoran Kampus</t>
  </si>
  <si>
    <t>Ryanair</t>
  </si>
  <si>
    <t>FlixBus</t>
  </si>
  <si>
    <t>Wolt</t>
  </si>
  <si>
    <t>Pekara Krimeja D.o.o.</t>
  </si>
  <si>
    <t>McDonald's</t>
  </si>
  <si>
    <t>Gavranović</t>
  </si>
  <si>
    <t>SPAR Food &amp; Fuel</t>
  </si>
  <si>
    <t>Metro</t>
  </si>
  <si>
    <t>Petrol Pm Rijeka Vez</t>
  </si>
  <si>
    <t>Plodine</t>
  </si>
  <si>
    <t>Apple</t>
  </si>
  <si>
    <t>Tabacco Shop</t>
  </si>
  <si>
    <t>Udemy</t>
  </si>
  <si>
    <t>INA</t>
  </si>
  <si>
    <t>dm drogerie</t>
  </si>
  <si>
    <t>Index</t>
  </si>
  <si>
    <t>Amazon</t>
  </si>
  <si>
    <t>Hrvatske autoceste</t>
  </si>
  <si>
    <t>Moire Student Shop</t>
  </si>
  <si>
    <t>KEKS Pay</t>
  </si>
  <si>
    <t>Cocalc Standard</t>
  </si>
  <si>
    <t>Govendi Time D.o.o.</t>
  </si>
  <si>
    <t>Caffe Bar Formula</t>
  </si>
  <si>
    <t>Müller</t>
  </si>
  <si>
    <t>Starý mlyn</t>
  </si>
  <si>
    <t>Wiener Linien</t>
  </si>
  <si>
    <t>BP</t>
  </si>
  <si>
    <t>Bolt</t>
  </si>
  <si>
    <t>Vienna Intl. Bustermin</t>
  </si>
  <si>
    <t>Dopravný podnik Bratislava - DPB</t>
  </si>
  <si>
    <t>Subway</t>
  </si>
  <si>
    <t>Circle K Gas Station</t>
  </si>
  <si>
    <t>Żabka</t>
  </si>
  <si>
    <t>Biedronka</t>
  </si>
  <si>
    <t>ZOO Wrocław</t>
  </si>
  <si>
    <t>National Museum</t>
  </si>
  <si>
    <t>Bulwar Cafe</t>
  </si>
  <si>
    <t>MPK Wrocław</t>
  </si>
  <si>
    <t>Arena 27 Sp.zoo</t>
  </si>
  <si>
    <t>Polskie Smaki</t>
  </si>
  <si>
    <t>Firma Ok Sp. Z O.o.</t>
  </si>
  <si>
    <t>dobro&amp;dobro cafe</t>
  </si>
  <si>
    <t>Delikatesy Centrum</t>
  </si>
  <si>
    <t>Carrefour</t>
  </si>
  <si>
    <t>Naturasi Pdv Treviso</t>
  </si>
  <si>
    <t>Relax &amp; Caffè</t>
  </si>
  <si>
    <t>Kibag</t>
  </si>
  <si>
    <t>STOCKS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</si>
</sst>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€-2]\ * #,##0.00_);_([$€-2]\ * \(#,##0.00\);_([$€-2]\ * &quot;-&quot;??_);_(@_)"/>
    <numFmt numFmtId="165" formatCode="_-* #,##0.00\ [$₴-422]_-;\-* #,##0.00\ [$₴-422]_-;_-* &quot;-&quot;??\ [$₴-422]_-;_-@_-"/>
  </numFmts>
  <fonts count="7" x14ac:knownFonts="1">
    <font>
      <sz val="12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5"/>
      <color theme="0"/>
      <name val="Aptos Narrow"/>
      <scheme val="minor"/>
    </font>
    <font>
      <sz val="15"/>
      <color rgb="FFFFFFFF"/>
      <name val="Aptos Narrow"/>
      <scheme val="minor"/>
    </font>
    <font>
      <sz val="12"/>
      <color rgb="FF000000"/>
      <name val="Aptos Narrow"/>
      <family val="2"/>
      <scheme val="minor"/>
    </font>
    <font>
      <sz val="13"/>
      <color theme="1"/>
      <name val="Proxima Nova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3CCEC"/>
        <bgColor indexed="64"/>
      </patternFill>
    </fill>
    <fill>
      <patternFill patternType="solid">
        <fgColor rgb="FF83CCEC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83CCEB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9">
    <xf numFmtId="0" fontId="0" fillId="0" borderId="0" xfId="0"/>
    <xf numFmtId="2" fontId="0" fillId="0" borderId="0" xfId="0" applyNumberFormat="1"/>
    <xf numFmtId="0" fontId="2" fillId="3" borderId="2" xfId="1" applyFont="1" applyFill="1" applyBorder="1" applyAlignment="1">
      <alignment horizontal="center" vertical="center"/>
    </xf>
    <xf numFmtId="0" fontId="2" fillId="4" borderId="4" xfId="1" applyFont="1" applyFill="1" applyBorder="1" applyAlignment="1">
      <alignment horizontal="center" vertical="center"/>
    </xf>
    <xf numFmtId="0" fontId="4" fillId="6" borderId="3" xfId="0" applyFont="1" applyFill="1" applyBorder="1"/>
    <xf numFmtId="0" fontId="4" fillId="6" borderId="6" xfId="0" applyFont="1" applyFill="1" applyBorder="1"/>
    <xf numFmtId="0" fontId="4" fillId="0" borderId="0" xfId="0" applyFont="1"/>
    <xf numFmtId="16" fontId="0" fillId="0" borderId="0" xfId="0" applyNumberFormat="1"/>
    <xf numFmtId="0" fontId="5" fillId="0" borderId="0" xfId="0" applyFont="1"/>
    <xf numFmtId="14" fontId="0" fillId="0" borderId="0" xfId="0" applyNumberFormat="1"/>
    <xf numFmtId="0" fontId="6" fillId="0" borderId="0" xfId="0" applyFont="1"/>
    <xf numFmtId="14" fontId="6" fillId="0" borderId="0" xfId="0" applyNumberFormat="1" applyFont="1"/>
    <xf numFmtId="0" fontId="4" fillId="6" borderId="2" xfId="0" applyFont="1" applyFill="1" applyBorder="1"/>
    <xf numFmtId="164" fontId="4" fillId="6" borderId="5" xfId="0" applyNumberFormat="1" applyFont="1" applyFill="1" applyBorder="1"/>
    <xf numFmtId="164" fontId="4" fillId="6" borderId="6" xfId="0" applyNumberFormat="1" applyFont="1" applyFill="1" applyBorder="1"/>
    <xf numFmtId="165" fontId="4" fillId="6" borderId="6" xfId="0" applyNumberFormat="1" applyFont="1" applyFill="1" applyBorder="1"/>
    <xf numFmtId="44" fontId="4" fillId="6" borderId="6" xfId="0" applyNumberFormat="1" applyFont="1" applyFill="1" applyBorder="1"/>
    <xf numFmtId="0" fontId="4" fillId="6" borderId="0" xfId="0" applyFont="1" applyFill="1"/>
    <xf numFmtId="0" fontId="4" fillId="6" borderId="5" xfId="0" applyFont="1" applyFill="1" applyBorder="1"/>
    <xf numFmtId="0" fontId="4" fillId="6" borderId="7" xfId="0" applyFont="1" applyFill="1" applyBorder="1"/>
    <xf numFmtId="0" fontId="4" fillId="6" borderId="8" xfId="0" applyFont="1" applyFill="1" applyBorder="1"/>
    <xf numFmtId="0" fontId="4" fillId="7" borderId="0" xfId="0" applyFont="1" applyFill="1"/>
    <xf numFmtId="0" fontId="3" fillId="8" borderId="2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colors>
    <mruColors>
      <color rgb="FF83C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70882-D44B-5648-9B60-83A711B7F793}">
  <dimension ref="A1:J133"/>
  <sheetViews>
    <sheetView topLeftCell="D2" zoomScale="115" workbookViewId="0">
      <selection activeCell="F7" sqref="F7"/>
    </sheetView>
  </sheetViews>
  <sheetFormatPr baseColWidth="10" defaultRowHeight="16" x14ac:dyDescent="0.2"/>
  <cols>
    <col min="1" max="1" width="8.33203125" style="9" customWidth="1"/>
    <col min="2" max="2" width="20.83203125" bestFit="1" customWidth="1"/>
    <col min="3" max="3" width="56.5" customWidth="1"/>
    <col min="4" max="4" width="11.83203125" customWidth="1"/>
    <col min="5" max="5" width="22.1640625" customWidth="1"/>
    <col min="6" max="6" width="40.33203125" customWidth="1"/>
    <col min="8" max="8" width="28.6640625" customWidth="1"/>
    <col min="9" max="9" width="14.33203125" customWidth="1"/>
  </cols>
  <sheetData>
    <row r="1" spans="1:10" ht="20" x14ac:dyDescent="0.25">
      <c r="A1" s="2" t="s">
        <v>0</v>
      </c>
      <c r="B1" s="2" t="s">
        <v>6</v>
      </c>
      <c r="C1" s="2" t="s">
        <v>1</v>
      </c>
      <c r="D1" s="2" t="s">
        <v>2</v>
      </c>
      <c r="E1" s="2" t="s">
        <v>3</v>
      </c>
      <c r="F1" s="3" t="s">
        <v>4</v>
      </c>
      <c r="G1" s="25"/>
      <c r="H1" s="26" t="s">
        <v>9</v>
      </c>
      <c r="I1" s="26"/>
    </row>
    <row r="2" spans="1:10" x14ac:dyDescent="0.2">
      <c r="A2" s="11">
        <v>45747</v>
      </c>
      <c r="B2" s="10" t="s">
        <v>35</v>
      </c>
      <c r="C2" s="10" t="s">
        <v>36</v>
      </c>
      <c r="D2" s="10">
        <v>-16.23</v>
      </c>
      <c r="E2" s="10" t="s">
        <v>22</v>
      </c>
      <c r="F2" s="10"/>
      <c r="G2" s="25"/>
      <c r="H2" s="12" t="s">
        <v>7</v>
      </c>
      <c r="I2" s="13">
        <v>0</v>
      </c>
    </row>
    <row r="3" spans="1:10" x14ac:dyDescent="0.2">
      <c r="A3" s="11">
        <v>45747</v>
      </c>
      <c r="B3" s="10" t="s">
        <v>35</v>
      </c>
      <c r="C3" s="10" t="s">
        <v>37</v>
      </c>
      <c r="D3" s="10">
        <v>-32.18</v>
      </c>
      <c r="E3" s="10" t="s">
        <v>22</v>
      </c>
      <c r="F3" s="10"/>
      <c r="G3" s="25"/>
      <c r="H3" s="4" t="s">
        <v>10</v>
      </c>
      <c r="I3" s="14">
        <v>4</v>
      </c>
      <c r="J3">
        <v>4</v>
      </c>
    </row>
    <row r="4" spans="1:10" x14ac:dyDescent="0.2">
      <c r="A4" s="11">
        <v>45744</v>
      </c>
      <c r="B4" s="10" t="s">
        <v>35</v>
      </c>
      <c r="C4" s="10" t="s">
        <v>38</v>
      </c>
      <c r="D4" s="10">
        <v>-8.1999999999999993</v>
      </c>
      <c r="E4" s="10" t="s">
        <v>22</v>
      </c>
      <c r="F4" s="10"/>
      <c r="G4" s="25"/>
      <c r="H4" s="4" t="s">
        <v>5</v>
      </c>
      <c r="I4" s="14">
        <v>10</v>
      </c>
      <c r="J4">
        <v>10</v>
      </c>
    </row>
    <row r="5" spans="1:10" x14ac:dyDescent="0.2">
      <c r="A5" s="11">
        <v>45741</v>
      </c>
      <c r="B5" s="10" t="s">
        <v>35</v>
      </c>
      <c r="C5" s="10" t="s">
        <v>39</v>
      </c>
      <c r="D5" s="10">
        <v>-35</v>
      </c>
      <c r="E5" s="10" t="s">
        <v>24</v>
      </c>
      <c r="F5" s="10"/>
      <c r="G5" s="25"/>
      <c r="H5" s="4" t="s">
        <v>8</v>
      </c>
      <c r="I5" s="15">
        <v>3013</v>
      </c>
      <c r="J5">
        <v>67</v>
      </c>
    </row>
    <row r="6" spans="1:10" x14ac:dyDescent="0.2">
      <c r="A6" s="11">
        <v>45734</v>
      </c>
      <c r="B6" s="10" t="s">
        <v>35</v>
      </c>
      <c r="C6" s="10" t="s">
        <v>40</v>
      </c>
      <c r="D6" s="10">
        <v>296.94</v>
      </c>
      <c r="E6" s="10" t="s">
        <v>25</v>
      </c>
      <c r="F6" s="10"/>
      <c r="G6" s="25"/>
      <c r="H6" s="4"/>
      <c r="I6" s="5"/>
    </row>
    <row r="7" spans="1:10" x14ac:dyDescent="0.2">
      <c r="A7" s="11">
        <v>45729</v>
      </c>
      <c r="B7" s="10" t="s">
        <v>35</v>
      </c>
      <c r="C7" s="10" t="s">
        <v>41</v>
      </c>
      <c r="D7" s="10">
        <v>-7.4</v>
      </c>
      <c r="E7" s="10" t="s">
        <v>17</v>
      </c>
      <c r="F7" s="10"/>
      <c r="G7" s="25"/>
      <c r="H7" s="4" t="s">
        <v>118</v>
      </c>
      <c r="I7" s="14">
        <v>145</v>
      </c>
      <c r="J7">
        <v>145</v>
      </c>
    </row>
    <row r="8" spans="1:10" x14ac:dyDescent="0.2">
      <c r="A8" s="11">
        <v>45726</v>
      </c>
      <c r="B8" s="10" t="s">
        <v>35</v>
      </c>
      <c r="C8" s="10" t="s">
        <v>42</v>
      </c>
      <c r="D8" s="10">
        <v>-2.4</v>
      </c>
      <c r="E8" s="10" t="s">
        <v>17</v>
      </c>
      <c r="F8" s="10"/>
      <c r="G8" s="25"/>
      <c r="H8" s="4" t="s">
        <v>11</v>
      </c>
      <c r="I8" s="16">
        <v>634</v>
      </c>
      <c r="J8">
        <v>586</v>
      </c>
    </row>
    <row r="9" spans="1:10" x14ac:dyDescent="0.2">
      <c r="A9" s="11">
        <v>45726</v>
      </c>
      <c r="B9" s="10" t="s">
        <v>35</v>
      </c>
      <c r="C9" s="10" t="s">
        <v>43</v>
      </c>
      <c r="D9" s="10">
        <v>-2.6</v>
      </c>
      <c r="E9" s="10" t="s">
        <v>17</v>
      </c>
      <c r="F9" s="10"/>
      <c r="G9" s="25"/>
      <c r="H9" s="4" t="s">
        <v>12</v>
      </c>
      <c r="I9" s="14">
        <v>330</v>
      </c>
      <c r="J9">
        <v>330</v>
      </c>
    </row>
    <row r="10" spans="1:10" x14ac:dyDescent="0.2">
      <c r="A10" s="11">
        <v>45724</v>
      </c>
      <c r="B10" s="10" t="s">
        <v>35</v>
      </c>
      <c r="C10" s="10" t="s">
        <v>44</v>
      </c>
      <c r="D10" s="10">
        <v>-23</v>
      </c>
      <c r="E10" s="10" t="s">
        <v>18</v>
      </c>
      <c r="F10" s="10" t="s">
        <v>45</v>
      </c>
      <c r="G10" s="25"/>
      <c r="H10" s="4" t="s">
        <v>13</v>
      </c>
      <c r="I10" s="14">
        <v>4</v>
      </c>
      <c r="J10">
        <v>4</v>
      </c>
    </row>
    <row r="11" spans="1:10" x14ac:dyDescent="0.2">
      <c r="A11" s="11">
        <v>45723</v>
      </c>
      <c r="B11" s="10" t="s">
        <v>35</v>
      </c>
      <c r="C11" s="10" t="s">
        <v>46</v>
      </c>
      <c r="D11" s="10">
        <v>-47.6</v>
      </c>
      <c r="E11" s="10" t="s">
        <v>18</v>
      </c>
      <c r="F11" s="10" t="s">
        <v>47</v>
      </c>
      <c r="G11" s="25"/>
      <c r="H11" s="17"/>
      <c r="I11" s="17">
        <f>SUM(J3:J10)</f>
        <v>1146</v>
      </c>
    </row>
    <row r="12" spans="1:10" x14ac:dyDescent="0.2">
      <c r="A12" s="11">
        <v>45723</v>
      </c>
      <c r="B12" s="10" t="s">
        <v>35</v>
      </c>
      <c r="C12" s="10" t="s">
        <v>48</v>
      </c>
      <c r="D12" s="10">
        <v>-13.3</v>
      </c>
      <c r="E12" s="10" t="s">
        <v>17</v>
      </c>
      <c r="F12" s="10"/>
      <c r="G12" s="25"/>
      <c r="H12" s="17"/>
      <c r="I12" s="17"/>
    </row>
    <row r="13" spans="1:10" ht="20" x14ac:dyDescent="0.25">
      <c r="A13" s="11">
        <v>45721</v>
      </c>
      <c r="B13" s="10" t="s">
        <v>35</v>
      </c>
      <c r="C13" s="10" t="s">
        <v>39</v>
      </c>
      <c r="D13" s="10">
        <v>-40</v>
      </c>
      <c r="E13" s="10" t="s">
        <v>24</v>
      </c>
      <c r="F13" s="10"/>
      <c r="G13" s="25"/>
      <c r="H13" s="26" t="s">
        <v>14</v>
      </c>
      <c r="I13" s="26"/>
    </row>
    <row r="14" spans="1:10" x14ac:dyDescent="0.2">
      <c r="A14" s="11">
        <v>45720</v>
      </c>
      <c r="B14" s="10" t="s">
        <v>35</v>
      </c>
      <c r="C14" s="10" t="s">
        <v>49</v>
      </c>
      <c r="D14" s="10">
        <v>200</v>
      </c>
      <c r="E14" s="10" t="s">
        <v>25</v>
      </c>
      <c r="F14" s="10"/>
      <c r="G14" s="25"/>
      <c r="H14" s="12" t="s">
        <v>15</v>
      </c>
      <c r="I14" s="18">
        <f>SUMIFS(D2:D393,E2:E393, H14)</f>
        <v>-53.150000000000006</v>
      </c>
    </row>
    <row r="15" spans="1:10" x14ac:dyDescent="0.2">
      <c r="A15" s="11">
        <v>45747</v>
      </c>
      <c r="B15" s="10" t="s">
        <v>50</v>
      </c>
      <c r="C15" s="10" t="s">
        <v>61</v>
      </c>
      <c r="D15" s="10">
        <v>-17.2</v>
      </c>
      <c r="E15" s="10" t="s">
        <v>22</v>
      </c>
      <c r="F15" s="10"/>
      <c r="G15" s="25"/>
      <c r="H15" s="4" t="s">
        <v>16</v>
      </c>
      <c r="I15" s="5">
        <f>SUMIFS(D2:D393,E2:E393, H15)</f>
        <v>-32.29</v>
      </c>
    </row>
    <row r="16" spans="1:10" x14ac:dyDescent="0.2">
      <c r="A16" s="11">
        <v>45746</v>
      </c>
      <c r="B16" s="10" t="s">
        <v>50</v>
      </c>
      <c r="C16" s="10" t="s">
        <v>62</v>
      </c>
      <c r="D16" s="10">
        <v>-16</v>
      </c>
      <c r="E16" s="10" t="s">
        <v>22</v>
      </c>
      <c r="F16" s="10"/>
      <c r="G16" s="25"/>
      <c r="H16" s="4" t="s">
        <v>17</v>
      </c>
      <c r="I16" s="5">
        <f>SUMIFS(D2:D393,E2:E393, H16)</f>
        <v>-94.02000000000001</v>
      </c>
    </row>
    <row r="17" spans="1:9" x14ac:dyDescent="0.2">
      <c r="A17" s="11">
        <v>45745</v>
      </c>
      <c r="B17" s="10" t="s">
        <v>50</v>
      </c>
      <c r="C17" s="10" t="s">
        <v>63</v>
      </c>
      <c r="D17" s="10">
        <v>-5</v>
      </c>
      <c r="E17" s="10" t="s">
        <v>22</v>
      </c>
      <c r="F17" s="10"/>
      <c r="G17" s="25"/>
      <c r="H17" s="4" t="s">
        <v>18</v>
      </c>
      <c r="I17" s="5">
        <f>SUMIFS(D2:D393,E2:E393, H17)</f>
        <v>-70.599999999999994</v>
      </c>
    </row>
    <row r="18" spans="1:9" x14ac:dyDescent="0.2">
      <c r="A18" s="11">
        <v>45742</v>
      </c>
      <c r="B18" s="10" t="s">
        <v>50</v>
      </c>
      <c r="C18" s="10" t="s">
        <v>64</v>
      </c>
      <c r="D18" s="10">
        <v>-1.5</v>
      </c>
      <c r="E18" s="10" t="s">
        <v>22</v>
      </c>
      <c r="F18" s="10"/>
      <c r="G18" s="25"/>
      <c r="H18" s="4" t="s">
        <v>19</v>
      </c>
      <c r="I18" s="5">
        <f>SUMIFS(D2:D393,E2:E393, H18)</f>
        <v>0</v>
      </c>
    </row>
    <row r="19" spans="1:9" x14ac:dyDescent="0.2">
      <c r="A19" s="11">
        <v>45740</v>
      </c>
      <c r="B19" s="10" t="s">
        <v>50</v>
      </c>
      <c r="C19" s="10" t="s">
        <v>65</v>
      </c>
      <c r="D19" s="10">
        <v>-6.5</v>
      </c>
      <c r="E19" s="10" t="s">
        <v>21</v>
      </c>
      <c r="F19" s="10"/>
      <c r="G19" s="25"/>
      <c r="H19" s="4" t="s">
        <v>20</v>
      </c>
      <c r="I19" s="5">
        <f>SUMIFS(D2:D393,E2:E393, H19)</f>
        <v>0</v>
      </c>
    </row>
    <row r="20" spans="1:9" x14ac:dyDescent="0.2">
      <c r="A20" s="11">
        <v>45736</v>
      </c>
      <c r="B20" s="10" t="s">
        <v>50</v>
      </c>
      <c r="C20" s="10" t="s">
        <v>66</v>
      </c>
      <c r="D20" s="10">
        <v>-1.02</v>
      </c>
      <c r="E20" s="6" t="s">
        <v>17</v>
      </c>
      <c r="F20" s="10"/>
      <c r="G20" s="25"/>
      <c r="H20" s="4" t="s">
        <v>21</v>
      </c>
      <c r="I20" s="5">
        <f>SUMIFS(D2:D393,E2:E393, H20)</f>
        <v>-16.490000000000002</v>
      </c>
    </row>
    <row r="21" spans="1:9" x14ac:dyDescent="0.2">
      <c r="A21" s="11">
        <v>45736</v>
      </c>
      <c r="B21" s="10" t="s">
        <v>50</v>
      </c>
      <c r="C21" s="10" t="s">
        <v>66</v>
      </c>
      <c r="D21" s="10">
        <v>-1.22</v>
      </c>
      <c r="E21" s="6" t="s">
        <v>17</v>
      </c>
      <c r="F21" s="10"/>
      <c r="G21" s="25"/>
      <c r="H21" s="4" t="s">
        <v>22</v>
      </c>
      <c r="I21" s="5">
        <f>SUMIFS(D2:D393,E2:E393, H21)</f>
        <v>-343.55000000000013</v>
      </c>
    </row>
    <row r="22" spans="1:9" x14ac:dyDescent="0.2">
      <c r="A22" s="11">
        <v>45728</v>
      </c>
      <c r="B22" s="10" t="s">
        <v>50</v>
      </c>
      <c r="C22" s="10" t="s">
        <v>66</v>
      </c>
      <c r="D22" s="10">
        <v>-2.57</v>
      </c>
      <c r="E22" s="6" t="s">
        <v>17</v>
      </c>
      <c r="F22" s="10"/>
      <c r="G22" s="25"/>
      <c r="H22" s="4" t="s">
        <v>23</v>
      </c>
      <c r="I22" s="5">
        <f>SUMIFS(D2:D393,E2:E393, H22)</f>
        <v>-37.75</v>
      </c>
    </row>
    <row r="23" spans="1:9" x14ac:dyDescent="0.2">
      <c r="A23" s="11">
        <v>45727</v>
      </c>
      <c r="B23" s="10" t="s">
        <v>50</v>
      </c>
      <c r="C23" s="10" t="s">
        <v>67</v>
      </c>
      <c r="D23" s="10">
        <v>-5.17</v>
      </c>
      <c r="E23" s="6" t="s">
        <v>15</v>
      </c>
      <c r="F23" s="10"/>
      <c r="G23" s="25"/>
      <c r="H23" s="4" t="s">
        <v>24</v>
      </c>
      <c r="I23" s="5">
        <f>SUMIFS(D2:D393,E2:E393, H23)</f>
        <v>-75</v>
      </c>
    </row>
    <row r="24" spans="1:9" x14ac:dyDescent="0.2">
      <c r="A24" s="11">
        <v>45722</v>
      </c>
      <c r="B24" s="10" t="s">
        <v>50</v>
      </c>
      <c r="C24" s="10" t="s">
        <v>68</v>
      </c>
      <c r="D24" s="10">
        <v>-1.2</v>
      </c>
      <c r="E24" s="6" t="s">
        <v>26</v>
      </c>
      <c r="F24" s="10"/>
      <c r="G24" s="25"/>
      <c r="H24" s="4" t="s">
        <v>26</v>
      </c>
      <c r="I24" s="5">
        <f>SUMIFS(D2:D393,E2:E393, H24)</f>
        <v>-1.2</v>
      </c>
    </row>
    <row r="25" spans="1:9" x14ac:dyDescent="0.2">
      <c r="A25" s="11">
        <v>45718</v>
      </c>
      <c r="B25" s="10" t="s">
        <v>50</v>
      </c>
      <c r="C25" s="10" t="s">
        <v>53</v>
      </c>
      <c r="D25" s="10">
        <v>-3.5</v>
      </c>
      <c r="E25" s="10" t="s">
        <v>21</v>
      </c>
      <c r="F25" s="10"/>
      <c r="G25" s="25"/>
      <c r="H25" s="19" t="s">
        <v>27</v>
      </c>
      <c r="I25" s="20">
        <f>SUM(I14:I24)</f>
        <v>-724.05000000000018</v>
      </c>
    </row>
    <row r="26" spans="1:9" x14ac:dyDescent="0.2">
      <c r="A26" s="11">
        <v>45717</v>
      </c>
      <c r="B26" s="10" t="s">
        <v>69</v>
      </c>
      <c r="C26" s="10" t="s">
        <v>70</v>
      </c>
      <c r="D26" s="10">
        <v>-1.66</v>
      </c>
      <c r="E26" s="10" t="s">
        <v>17</v>
      </c>
      <c r="F26" s="10"/>
      <c r="G26" s="25"/>
      <c r="H26" s="27"/>
      <c r="I26" s="28"/>
    </row>
    <row r="27" spans="1:9" x14ac:dyDescent="0.2">
      <c r="A27" s="11">
        <v>45717</v>
      </c>
      <c r="B27" s="10" t="s">
        <v>69</v>
      </c>
      <c r="C27" s="10" t="s">
        <v>71</v>
      </c>
      <c r="D27" s="10">
        <v>-18.600000000000001</v>
      </c>
      <c r="E27" s="10" t="s">
        <v>22</v>
      </c>
      <c r="F27" s="10"/>
      <c r="H27" s="4" t="s">
        <v>25</v>
      </c>
      <c r="I27" s="5">
        <f>SUMIFS(D2:D393,E2:E393, H27)</f>
        <v>496.94</v>
      </c>
    </row>
    <row r="28" spans="1:9" x14ac:dyDescent="0.2">
      <c r="A28" s="11">
        <v>45717</v>
      </c>
      <c r="B28" s="10" t="s">
        <v>69</v>
      </c>
      <c r="C28" s="10" t="s">
        <v>72</v>
      </c>
      <c r="D28" s="10">
        <v>-27.37</v>
      </c>
      <c r="E28" s="10" t="s">
        <v>22</v>
      </c>
      <c r="F28" s="10"/>
      <c r="H28" s="6"/>
      <c r="I28" s="21">
        <f>SUM(I27,I25)</f>
        <v>-227.11000000000018</v>
      </c>
    </row>
    <row r="29" spans="1:9" x14ac:dyDescent="0.2">
      <c r="A29" s="11">
        <v>45719</v>
      </c>
      <c r="B29" s="10" t="s">
        <v>69</v>
      </c>
      <c r="C29" s="10" t="s">
        <v>73</v>
      </c>
      <c r="D29" s="10">
        <v>-11.28</v>
      </c>
      <c r="E29" s="10" t="s">
        <v>17</v>
      </c>
      <c r="F29" s="10"/>
    </row>
    <row r="30" spans="1:9" x14ac:dyDescent="0.2">
      <c r="A30" s="11">
        <v>45720</v>
      </c>
      <c r="B30" s="10" t="s">
        <v>69</v>
      </c>
      <c r="C30" s="10" t="s">
        <v>74</v>
      </c>
      <c r="D30" s="10">
        <v>-1.3</v>
      </c>
      <c r="E30" s="10" t="s">
        <v>17</v>
      </c>
      <c r="F30" s="10"/>
    </row>
    <row r="31" spans="1:9" x14ac:dyDescent="0.2">
      <c r="A31" s="11">
        <v>45720</v>
      </c>
      <c r="B31" s="10" t="s">
        <v>69</v>
      </c>
      <c r="C31" s="10" t="s">
        <v>70</v>
      </c>
      <c r="D31" s="10">
        <v>-0.49</v>
      </c>
      <c r="E31" s="10" t="s">
        <v>17</v>
      </c>
      <c r="F31" s="10"/>
    </row>
    <row r="32" spans="1:9" x14ac:dyDescent="0.2">
      <c r="A32" s="11">
        <v>45720</v>
      </c>
      <c r="B32" s="10" t="s">
        <v>69</v>
      </c>
      <c r="C32" s="10" t="s">
        <v>70</v>
      </c>
      <c r="D32" s="10">
        <v>-1.61</v>
      </c>
      <c r="E32" s="10" t="s">
        <v>17</v>
      </c>
    </row>
    <row r="33" spans="1:5" x14ac:dyDescent="0.2">
      <c r="A33" s="11">
        <v>45720</v>
      </c>
      <c r="B33" s="10" t="s">
        <v>69</v>
      </c>
      <c r="C33" s="10" t="s">
        <v>70</v>
      </c>
      <c r="D33" s="10">
        <v>-0.79</v>
      </c>
      <c r="E33" s="10" t="s">
        <v>17</v>
      </c>
    </row>
    <row r="34" spans="1:5" x14ac:dyDescent="0.2">
      <c r="A34" s="11">
        <v>45720</v>
      </c>
      <c r="B34" s="10" t="s">
        <v>69</v>
      </c>
      <c r="C34" s="10" t="s">
        <v>75</v>
      </c>
      <c r="D34" s="10">
        <v>-2.5</v>
      </c>
      <c r="E34" s="10" t="s">
        <v>17</v>
      </c>
    </row>
    <row r="35" spans="1:5" x14ac:dyDescent="0.2">
      <c r="A35" s="11">
        <v>45721</v>
      </c>
      <c r="B35" s="10" t="s">
        <v>69</v>
      </c>
      <c r="C35" s="10" t="s">
        <v>70</v>
      </c>
      <c r="D35" s="10">
        <v>-1.07</v>
      </c>
      <c r="E35" s="10" t="s">
        <v>17</v>
      </c>
    </row>
    <row r="36" spans="1:5" x14ac:dyDescent="0.2">
      <c r="A36" s="11">
        <v>45721</v>
      </c>
      <c r="B36" s="10" t="s">
        <v>69</v>
      </c>
      <c r="C36" s="10" t="s">
        <v>70</v>
      </c>
      <c r="D36" s="10">
        <v>-0.49</v>
      </c>
      <c r="E36" s="10" t="s">
        <v>17</v>
      </c>
    </row>
    <row r="37" spans="1:5" x14ac:dyDescent="0.2">
      <c r="A37" s="11">
        <v>45721</v>
      </c>
      <c r="B37" s="10" t="s">
        <v>69</v>
      </c>
      <c r="C37" s="10" t="s">
        <v>70</v>
      </c>
      <c r="D37" s="10">
        <v>-0.3</v>
      </c>
      <c r="E37" s="10" t="s">
        <v>17</v>
      </c>
    </row>
    <row r="38" spans="1:5" x14ac:dyDescent="0.2">
      <c r="A38" s="11">
        <v>45721</v>
      </c>
      <c r="B38" s="10" t="s">
        <v>69</v>
      </c>
      <c r="C38" s="10" t="s">
        <v>76</v>
      </c>
      <c r="D38" s="10">
        <v>-7.36</v>
      </c>
      <c r="E38" s="10" t="s">
        <v>15</v>
      </c>
    </row>
    <row r="39" spans="1:5" x14ac:dyDescent="0.2">
      <c r="A39" s="11">
        <v>45721</v>
      </c>
      <c r="B39" s="10" t="s">
        <v>69</v>
      </c>
      <c r="C39" s="10" t="s">
        <v>77</v>
      </c>
      <c r="D39" s="10">
        <v>-3.53</v>
      </c>
      <c r="E39" s="10" t="s">
        <v>15</v>
      </c>
    </row>
    <row r="40" spans="1:5" x14ac:dyDescent="0.2">
      <c r="A40" s="11">
        <v>45722</v>
      </c>
      <c r="B40" s="10" t="s">
        <v>69</v>
      </c>
      <c r="C40" s="10" t="s">
        <v>78</v>
      </c>
      <c r="D40" s="10">
        <v>-16.29</v>
      </c>
      <c r="E40" s="10" t="s">
        <v>15</v>
      </c>
    </row>
    <row r="41" spans="1:5" x14ac:dyDescent="0.2">
      <c r="A41" s="11">
        <v>45722</v>
      </c>
      <c r="B41" s="10" t="s">
        <v>69</v>
      </c>
      <c r="C41" s="10" t="s">
        <v>70</v>
      </c>
      <c r="D41" s="10">
        <v>-1</v>
      </c>
      <c r="E41" s="10" t="s">
        <v>17</v>
      </c>
    </row>
    <row r="42" spans="1:5" x14ac:dyDescent="0.2">
      <c r="A42" s="11">
        <v>45722</v>
      </c>
      <c r="B42" s="10" t="s">
        <v>69</v>
      </c>
      <c r="C42" s="10" t="s">
        <v>70</v>
      </c>
      <c r="D42" s="10">
        <v>-1.4</v>
      </c>
      <c r="E42" s="10" t="s">
        <v>17</v>
      </c>
    </row>
    <row r="43" spans="1:5" x14ac:dyDescent="0.2">
      <c r="A43" s="11">
        <v>45723</v>
      </c>
      <c r="B43" s="10" t="s">
        <v>69</v>
      </c>
      <c r="C43" s="10" t="s">
        <v>70</v>
      </c>
      <c r="D43" s="10">
        <v>-1.34</v>
      </c>
      <c r="E43" s="10" t="s">
        <v>17</v>
      </c>
    </row>
    <row r="44" spans="1:5" x14ac:dyDescent="0.2">
      <c r="A44" s="11">
        <v>45723</v>
      </c>
      <c r="B44" s="10" t="s">
        <v>69</v>
      </c>
      <c r="C44" s="10" t="s">
        <v>70</v>
      </c>
      <c r="D44" s="10">
        <v>-0.79</v>
      </c>
      <c r="E44" s="10" t="s">
        <v>17</v>
      </c>
    </row>
    <row r="45" spans="1:5" x14ac:dyDescent="0.2">
      <c r="A45" s="11">
        <v>45723</v>
      </c>
      <c r="B45" s="10" t="s">
        <v>69</v>
      </c>
      <c r="C45" s="10" t="s">
        <v>79</v>
      </c>
      <c r="D45" s="10">
        <v>-10.029999999999999</v>
      </c>
      <c r="E45" s="10" t="s">
        <v>16</v>
      </c>
    </row>
    <row r="46" spans="1:5" x14ac:dyDescent="0.2">
      <c r="A46" s="11">
        <v>45725</v>
      </c>
      <c r="B46" s="10" t="s">
        <v>69</v>
      </c>
      <c r="C46" s="10" t="s">
        <v>73</v>
      </c>
      <c r="D46" s="10">
        <v>-8</v>
      </c>
      <c r="E46" s="10" t="s">
        <v>17</v>
      </c>
    </row>
    <row r="47" spans="1:5" x14ac:dyDescent="0.2">
      <c r="A47" s="11">
        <v>45723</v>
      </c>
      <c r="B47" s="10" t="s">
        <v>69</v>
      </c>
      <c r="C47" s="10" t="s">
        <v>77</v>
      </c>
      <c r="D47" s="10">
        <v>-0.88</v>
      </c>
      <c r="E47" s="10" t="s">
        <v>15</v>
      </c>
    </row>
    <row r="48" spans="1:5" x14ac:dyDescent="0.2">
      <c r="A48" s="11">
        <v>45726</v>
      </c>
      <c r="B48" s="10" t="s">
        <v>69</v>
      </c>
      <c r="C48" s="10" t="s">
        <v>80</v>
      </c>
      <c r="D48" s="10">
        <v>-4.53</v>
      </c>
      <c r="E48" s="10" t="s">
        <v>15</v>
      </c>
    </row>
    <row r="49" spans="1:5" x14ac:dyDescent="0.2">
      <c r="A49" s="11">
        <v>45726</v>
      </c>
      <c r="B49" s="10" t="s">
        <v>69</v>
      </c>
      <c r="C49" s="10" t="s">
        <v>70</v>
      </c>
      <c r="D49" s="10">
        <v>-1.17</v>
      </c>
      <c r="E49" s="10" t="s">
        <v>17</v>
      </c>
    </row>
    <row r="50" spans="1:5" x14ac:dyDescent="0.2">
      <c r="A50" s="11">
        <v>45726</v>
      </c>
      <c r="B50" s="10" t="s">
        <v>69</v>
      </c>
      <c r="C50" s="10" t="s">
        <v>70</v>
      </c>
      <c r="D50" s="10">
        <v>-0.81</v>
      </c>
      <c r="E50" s="10" t="s">
        <v>17</v>
      </c>
    </row>
    <row r="51" spans="1:5" x14ac:dyDescent="0.2">
      <c r="A51" s="11">
        <v>45727</v>
      </c>
      <c r="B51" s="10" t="s">
        <v>69</v>
      </c>
      <c r="C51" s="10" t="s">
        <v>81</v>
      </c>
      <c r="D51" s="10">
        <v>-6.49</v>
      </c>
      <c r="E51" s="10" t="s">
        <v>21</v>
      </c>
    </row>
    <row r="52" spans="1:5" x14ac:dyDescent="0.2">
      <c r="A52" s="11">
        <v>45727</v>
      </c>
      <c r="B52" s="10" t="s">
        <v>69</v>
      </c>
      <c r="C52" s="10" t="s">
        <v>82</v>
      </c>
      <c r="D52" s="10">
        <v>-1.49</v>
      </c>
      <c r="E52" s="10" t="s">
        <v>15</v>
      </c>
    </row>
    <row r="53" spans="1:5" x14ac:dyDescent="0.2">
      <c r="A53" s="11">
        <v>45727</v>
      </c>
      <c r="B53" s="10" t="s">
        <v>69</v>
      </c>
      <c r="C53" s="10" t="s">
        <v>70</v>
      </c>
      <c r="D53" s="10">
        <v>-1.0900000000000001</v>
      </c>
      <c r="E53" s="10" t="s">
        <v>17</v>
      </c>
    </row>
    <row r="54" spans="1:5" x14ac:dyDescent="0.2">
      <c r="A54" s="11">
        <v>45726</v>
      </c>
      <c r="B54" s="10" t="s">
        <v>69</v>
      </c>
      <c r="C54" s="10" t="s">
        <v>83</v>
      </c>
      <c r="D54" s="10">
        <v>-9.99</v>
      </c>
      <c r="E54" s="10" t="s">
        <v>23</v>
      </c>
    </row>
    <row r="55" spans="1:5" x14ac:dyDescent="0.2">
      <c r="A55" s="11">
        <v>45728</v>
      </c>
      <c r="B55" s="10" t="s">
        <v>69</v>
      </c>
      <c r="C55" s="10" t="s">
        <v>80</v>
      </c>
      <c r="D55" s="10">
        <v>-3.58</v>
      </c>
      <c r="E55" s="10" t="s">
        <v>15</v>
      </c>
    </row>
    <row r="56" spans="1:5" x14ac:dyDescent="0.2">
      <c r="A56" s="11">
        <v>45727</v>
      </c>
      <c r="B56" s="10" t="s">
        <v>69</v>
      </c>
      <c r="C56" s="10" t="s">
        <v>77</v>
      </c>
      <c r="D56" s="10">
        <v>-0.27</v>
      </c>
      <c r="E56" s="10" t="s">
        <v>15</v>
      </c>
    </row>
    <row r="57" spans="1:5" x14ac:dyDescent="0.2">
      <c r="A57" s="11">
        <v>45728</v>
      </c>
      <c r="B57" s="10" t="s">
        <v>69</v>
      </c>
      <c r="C57" s="10" t="s">
        <v>70</v>
      </c>
      <c r="D57" s="10">
        <v>-0.23</v>
      </c>
      <c r="E57" s="10" t="s">
        <v>17</v>
      </c>
    </row>
    <row r="58" spans="1:5" x14ac:dyDescent="0.2">
      <c r="A58" s="11">
        <v>45728</v>
      </c>
      <c r="B58" s="10" t="s">
        <v>69</v>
      </c>
      <c r="C58" s="10" t="s">
        <v>84</v>
      </c>
      <c r="D58" s="10">
        <v>-10.029999999999999</v>
      </c>
      <c r="E58" s="10" t="s">
        <v>16</v>
      </c>
    </row>
    <row r="59" spans="1:5" x14ac:dyDescent="0.2">
      <c r="A59" s="11">
        <v>45729</v>
      </c>
      <c r="B59" s="10" t="s">
        <v>69</v>
      </c>
      <c r="C59" s="10" t="s">
        <v>70</v>
      </c>
      <c r="D59" s="10">
        <v>-1.33</v>
      </c>
      <c r="E59" s="10" t="s">
        <v>17</v>
      </c>
    </row>
    <row r="60" spans="1:5" x14ac:dyDescent="0.2">
      <c r="A60" s="11">
        <v>45729</v>
      </c>
      <c r="B60" s="10" t="s">
        <v>69</v>
      </c>
      <c r="C60" s="10" t="s">
        <v>85</v>
      </c>
      <c r="D60" s="10">
        <v>-1.75</v>
      </c>
      <c r="E60" s="10" t="s">
        <v>15</v>
      </c>
    </row>
    <row r="61" spans="1:5" x14ac:dyDescent="0.2">
      <c r="A61" s="11">
        <v>45729</v>
      </c>
      <c r="B61" s="10" t="s">
        <v>69</v>
      </c>
      <c r="C61" s="10" t="s">
        <v>86</v>
      </c>
      <c r="D61" s="10">
        <v>-1.17</v>
      </c>
      <c r="E61" s="10" t="s">
        <v>17</v>
      </c>
    </row>
    <row r="62" spans="1:5" x14ac:dyDescent="0.2">
      <c r="A62" s="11">
        <v>45729</v>
      </c>
      <c r="B62" s="10" t="s">
        <v>69</v>
      </c>
      <c r="C62" s="10" t="s">
        <v>72</v>
      </c>
      <c r="D62" s="10">
        <v>-14.97</v>
      </c>
      <c r="E62" s="10" t="s">
        <v>22</v>
      </c>
    </row>
    <row r="63" spans="1:5" x14ac:dyDescent="0.2">
      <c r="A63" s="11">
        <v>45729</v>
      </c>
      <c r="B63" s="10" t="s">
        <v>69</v>
      </c>
      <c r="C63" s="10" t="s">
        <v>80</v>
      </c>
      <c r="D63" s="10">
        <v>-4.8</v>
      </c>
      <c r="E63" s="10" t="s">
        <v>15</v>
      </c>
    </row>
    <row r="64" spans="1:5" x14ac:dyDescent="0.2">
      <c r="A64" s="11">
        <v>45730</v>
      </c>
      <c r="B64" s="10" t="s">
        <v>69</v>
      </c>
      <c r="C64" s="10" t="s">
        <v>70</v>
      </c>
      <c r="D64" s="10">
        <v>-1.05</v>
      </c>
      <c r="E64" s="10" t="s">
        <v>17</v>
      </c>
    </row>
    <row r="65" spans="1:5" x14ac:dyDescent="0.2">
      <c r="A65" s="11">
        <v>45730</v>
      </c>
      <c r="B65" s="10" t="s">
        <v>69</v>
      </c>
      <c r="C65" s="10" t="s">
        <v>70</v>
      </c>
      <c r="D65" s="10">
        <v>-0.85</v>
      </c>
      <c r="E65" s="10" t="s">
        <v>17</v>
      </c>
    </row>
    <row r="66" spans="1:5" x14ac:dyDescent="0.2">
      <c r="A66" s="11">
        <v>45731</v>
      </c>
      <c r="B66" s="10" t="s">
        <v>69</v>
      </c>
      <c r="C66" s="10" t="s">
        <v>87</v>
      </c>
      <c r="D66" s="10">
        <v>-7.9</v>
      </c>
      <c r="E66" s="10" t="s">
        <v>23</v>
      </c>
    </row>
    <row r="67" spans="1:5" x14ac:dyDescent="0.2">
      <c r="A67" s="11">
        <v>45732</v>
      </c>
      <c r="B67" s="10" t="s">
        <v>69</v>
      </c>
      <c r="C67" s="10" t="s">
        <v>88</v>
      </c>
      <c r="D67" s="10">
        <v>-1.1000000000000001</v>
      </c>
      <c r="E67" s="10" t="s">
        <v>16</v>
      </c>
    </row>
    <row r="68" spans="1:5" x14ac:dyDescent="0.2">
      <c r="A68" s="11">
        <v>45732</v>
      </c>
      <c r="B68" s="10" t="s">
        <v>69</v>
      </c>
      <c r="C68" s="10" t="s">
        <v>88</v>
      </c>
      <c r="D68" s="10">
        <v>-1.1000000000000001</v>
      </c>
      <c r="E68" s="10" t="s">
        <v>16</v>
      </c>
    </row>
    <row r="69" spans="1:5" x14ac:dyDescent="0.2">
      <c r="A69" s="11">
        <v>45733</v>
      </c>
      <c r="B69" s="10" t="s">
        <v>69</v>
      </c>
      <c r="C69" s="10" t="s">
        <v>89</v>
      </c>
      <c r="D69" s="10">
        <v>-3.5</v>
      </c>
      <c r="E69" s="10" t="s">
        <v>15</v>
      </c>
    </row>
    <row r="70" spans="1:5" x14ac:dyDescent="0.2">
      <c r="A70" s="11">
        <v>45733</v>
      </c>
      <c r="B70" s="10" t="s">
        <v>69</v>
      </c>
      <c r="C70" s="10" t="s">
        <v>70</v>
      </c>
      <c r="D70" s="10">
        <v>-2.11</v>
      </c>
      <c r="E70" s="10" t="s">
        <v>17</v>
      </c>
    </row>
    <row r="71" spans="1:5" x14ac:dyDescent="0.2">
      <c r="A71" s="11">
        <v>45733</v>
      </c>
      <c r="B71" s="10" t="s">
        <v>69</v>
      </c>
      <c r="C71" s="10" t="s">
        <v>70</v>
      </c>
      <c r="D71" s="10">
        <v>-1.22</v>
      </c>
      <c r="E71" s="10" t="s">
        <v>17</v>
      </c>
    </row>
    <row r="72" spans="1:5" x14ac:dyDescent="0.2">
      <c r="A72" s="11">
        <v>45734</v>
      </c>
      <c r="B72" s="10" t="s">
        <v>69</v>
      </c>
      <c r="C72" s="10" t="s">
        <v>90</v>
      </c>
      <c r="D72" s="10">
        <v>-2.9</v>
      </c>
      <c r="E72" s="10" t="s">
        <v>17</v>
      </c>
    </row>
    <row r="73" spans="1:5" x14ac:dyDescent="0.2">
      <c r="A73" s="11">
        <v>45734</v>
      </c>
      <c r="B73" s="10" t="s">
        <v>69</v>
      </c>
      <c r="C73" s="10" t="s">
        <v>70</v>
      </c>
      <c r="D73" s="10">
        <v>-1.4</v>
      </c>
      <c r="E73" s="10" t="s">
        <v>17</v>
      </c>
    </row>
    <row r="74" spans="1:5" x14ac:dyDescent="0.2">
      <c r="A74" s="11">
        <v>45734</v>
      </c>
      <c r="B74" s="10" t="s">
        <v>69</v>
      </c>
      <c r="C74" s="10" t="s">
        <v>70</v>
      </c>
      <c r="D74" s="10">
        <v>-1.35</v>
      </c>
      <c r="E74" s="10" t="s">
        <v>17</v>
      </c>
    </row>
    <row r="75" spans="1:5" x14ac:dyDescent="0.2">
      <c r="A75" s="11">
        <v>45735</v>
      </c>
      <c r="B75" s="10" t="s">
        <v>69</v>
      </c>
      <c r="C75" s="10" t="s">
        <v>91</v>
      </c>
      <c r="D75" s="10">
        <v>-4.79</v>
      </c>
      <c r="E75" s="10" t="s">
        <v>23</v>
      </c>
    </row>
    <row r="76" spans="1:5" x14ac:dyDescent="0.2">
      <c r="A76" s="11">
        <v>45735</v>
      </c>
      <c r="B76" s="10" t="s">
        <v>69</v>
      </c>
      <c r="C76" s="10" t="s">
        <v>70</v>
      </c>
      <c r="D76" s="10">
        <v>-1.18</v>
      </c>
      <c r="E76" s="10" t="s">
        <v>17</v>
      </c>
    </row>
    <row r="77" spans="1:5" x14ac:dyDescent="0.2">
      <c r="A77" s="11">
        <v>45735</v>
      </c>
      <c r="B77" s="10" t="s">
        <v>69</v>
      </c>
      <c r="C77" s="10" t="s">
        <v>70</v>
      </c>
      <c r="D77" s="10">
        <v>-0.39</v>
      </c>
      <c r="E77" s="10" t="s">
        <v>17</v>
      </c>
    </row>
    <row r="78" spans="1:5" x14ac:dyDescent="0.2">
      <c r="A78" s="11">
        <v>45736</v>
      </c>
      <c r="B78" s="10" t="s">
        <v>69</v>
      </c>
      <c r="C78" s="10" t="s">
        <v>92</v>
      </c>
      <c r="D78" s="10">
        <v>-0.75</v>
      </c>
      <c r="E78" s="10" t="s">
        <v>17</v>
      </c>
    </row>
    <row r="79" spans="1:5" x14ac:dyDescent="0.2">
      <c r="A79" s="11">
        <v>45737</v>
      </c>
      <c r="B79" s="10" t="s">
        <v>69</v>
      </c>
      <c r="C79" s="10" t="s">
        <v>70</v>
      </c>
      <c r="D79" s="10">
        <v>-0.3</v>
      </c>
      <c r="E79" s="10" t="s">
        <v>17</v>
      </c>
    </row>
    <row r="80" spans="1:5" x14ac:dyDescent="0.2">
      <c r="A80" s="11">
        <v>45737</v>
      </c>
      <c r="B80" s="10" t="s">
        <v>69</v>
      </c>
      <c r="C80" s="10" t="s">
        <v>70</v>
      </c>
      <c r="D80" s="10">
        <v>-1.4</v>
      </c>
      <c r="E80" s="10" t="s">
        <v>17</v>
      </c>
    </row>
    <row r="81" spans="1:5" x14ac:dyDescent="0.2">
      <c r="A81" s="11">
        <v>45737</v>
      </c>
      <c r="B81" s="10" t="s">
        <v>69</v>
      </c>
      <c r="C81" s="10" t="s">
        <v>70</v>
      </c>
      <c r="D81" s="10">
        <v>-1.05</v>
      </c>
      <c r="E81" s="10" t="s">
        <v>17</v>
      </c>
    </row>
    <row r="82" spans="1:5" x14ac:dyDescent="0.2">
      <c r="A82" s="11">
        <v>45737</v>
      </c>
      <c r="B82" s="10" t="s">
        <v>69</v>
      </c>
      <c r="C82" s="10" t="s">
        <v>93</v>
      </c>
      <c r="D82" s="10">
        <v>-1.35</v>
      </c>
      <c r="E82" s="10" t="s">
        <v>17</v>
      </c>
    </row>
    <row r="83" spans="1:5" x14ac:dyDescent="0.2">
      <c r="A83" s="11">
        <v>45736</v>
      </c>
      <c r="B83" s="10" t="s">
        <v>69</v>
      </c>
      <c r="C83" s="10" t="s">
        <v>77</v>
      </c>
      <c r="D83" s="10">
        <v>-3.06</v>
      </c>
      <c r="E83" s="10" t="s">
        <v>17</v>
      </c>
    </row>
    <row r="84" spans="1:5" x14ac:dyDescent="0.2">
      <c r="A84" s="11">
        <v>45740</v>
      </c>
      <c r="B84" s="10" t="s">
        <v>69</v>
      </c>
      <c r="C84" s="10" t="s">
        <v>87</v>
      </c>
      <c r="D84" s="10">
        <v>-15.07</v>
      </c>
      <c r="E84" s="10" t="s">
        <v>23</v>
      </c>
    </row>
    <row r="85" spans="1:5" x14ac:dyDescent="0.2">
      <c r="A85" s="11">
        <v>45740</v>
      </c>
      <c r="B85" s="10" t="s">
        <v>69</v>
      </c>
      <c r="C85" s="10" t="s">
        <v>94</v>
      </c>
      <c r="D85" s="10">
        <v>-3.51</v>
      </c>
      <c r="E85" s="10" t="s">
        <v>22</v>
      </c>
    </row>
    <row r="86" spans="1:5" x14ac:dyDescent="0.2">
      <c r="A86" s="11">
        <v>45740</v>
      </c>
      <c r="B86" s="10" t="s">
        <v>69</v>
      </c>
      <c r="C86" s="10" t="s">
        <v>70</v>
      </c>
      <c r="D86" s="10">
        <v>-1.51</v>
      </c>
      <c r="E86" s="10" t="s">
        <v>17</v>
      </c>
    </row>
    <row r="87" spans="1:5" x14ac:dyDescent="0.2">
      <c r="A87" s="11">
        <v>45740</v>
      </c>
      <c r="B87" s="10" t="s">
        <v>69</v>
      </c>
      <c r="C87" s="10" t="s">
        <v>70</v>
      </c>
      <c r="D87" s="10">
        <v>-1.82</v>
      </c>
      <c r="E87" s="10" t="s">
        <v>17</v>
      </c>
    </row>
    <row r="88" spans="1:5" x14ac:dyDescent="0.2">
      <c r="A88" s="11">
        <v>45740</v>
      </c>
      <c r="B88" s="10" t="s">
        <v>69</v>
      </c>
      <c r="C88" s="10" t="s">
        <v>84</v>
      </c>
      <c r="D88" s="10">
        <v>-10.029999999999999</v>
      </c>
      <c r="E88" s="10" t="s">
        <v>16</v>
      </c>
    </row>
    <row r="89" spans="1:5" x14ac:dyDescent="0.2">
      <c r="A89" s="11">
        <v>45741</v>
      </c>
      <c r="B89" s="10" t="s">
        <v>69</v>
      </c>
      <c r="C89" s="10" t="s">
        <v>95</v>
      </c>
      <c r="D89" s="10">
        <v>-2</v>
      </c>
      <c r="E89" s="10" t="s">
        <v>22</v>
      </c>
    </row>
    <row r="90" spans="1:5" x14ac:dyDescent="0.2">
      <c r="A90" s="11">
        <v>45741</v>
      </c>
      <c r="B90" s="10" t="s">
        <v>69</v>
      </c>
      <c r="C90" s="10" t="s">
        <v>96</v>
      </c>
      <c r="D90" s="10">
        <v>-4.8</v>
      </c>
      <c r="E90" s="10" t="s">
        <v>22</v>
      </c>
    </row>
    <row r="91" spans="1:5" x14ac:dyDescent="0.2">
      <c r="A91" s="11">
        <v>45741</v>
      </c>
      <c r="B91" s="10" t="s">
        <v>69</v>
      </c>
      <c r="C91" s="10" t="s">
        <v>97</v>
      </c>
      <c r="D91" s="10">
        <v>-3.69</v>
      </c>
      <c r="E91" s="10" t="s">
        <v>22</v>
      </c>
    </row>
    <row r="92" spans="1:5" x14ac:dyDescent="0.2">
      <c r="A92" s="11">
        <v>45742</v>
      </c>
      <c r="B92" s="10" t="s">
        <v>69</v>
      </c>
      <c r="C92" s="10" t="s">
        <v>98</v>
      </c>
      <c r="D92" s="10">
        <v>-4</v>
      </c>
      <c r="E92" s="10" t="s">
        <v>22</v>
      </c>
    </row>
    <row r="93" spans="1:5" x14ac:dyDescent="0.2">
      <c r="A93" s="11">
        <v>45741</v>
      </c>
      <c r="B93" s="10" t="s">
        <v>69</v>
      </c>
      <c r="C93" s="10" t="s">
        <v>99</v>
      </c>
      <c r="D93" s="10">
        <v>-0.5</v>
      </c>
      <c r="E93" s="10" t="s">
        <v>22</v>
      </c>
    </row>
    <row r="94" spans="1:5" x14ac:dyDescent="0.2">
      <c r="A94" s="11">
        <v>45741</v>
      </c>
      <c r="B94" s="10" t="s">
        <v>69</v>
      </c>
      <c r="C94" s="10" t="s">
        <v>99</v>
      </c>
      <c r="D94" s="10">
        <v>-0.5</v>
      </c>
      <c r="E94" s="10" t="s">
        <v>22</v>
      </c>
    </row>
    <row r="95" spans="1:5" x14ac:dyDescent="0.2">
      <c r="A95" s="11">
        <v>45741</v>
      </c>
      <c r="B95" s="10" t="s">
        <v>69</v>
      </c>
      <c r="C95" s="10" t="s">
        <v>100</v>
      </c>
      <c r="D95" s="10">
        <v>-1.1000000000000001</v>
      </c>
      <c r="E95" s="10" t="s">
        <v>22</v>
      </c>
    </row>
    <row r="96" spans="1:5" x14ac:dyDescent="0.2">
      <c r="A96" s="11">
        <v>45741</v>
      </c>
      <c r="B96" s="10" t="s">
        <v>69</v>
      </c>
      <c r="C96" s="10" t="s">
        <v>72</v>
      </c>
      <c r="D96" s="10">
        <v>-31.8</v>
      </c>
      <c r="E96" s="10" t="s">
        <v>22</v>
      </c>
    </row>
    <row r="97" spans="1:5" x14ac:dyDescent="0.2">
      <c r="A97" s="11">
        <v>45742</v>
      </c>
      <c r="B97" s="10" t="s">
        <v>69</v>
      </c>
      <c r="C97" s="10" t="s">
        <v>101</v>
      </c>
      <c r="D97" s="10">
        <v>-6.94</v>
      </c>
      <c r="E97" s="10" t="s">
        <v>22</v>
      </c>
    </row>
    <row r="98" spans="1:5" x14ac:dyDescent="0.2">
      <c r="A98" s="11">
        <v>45742</v>
      </c>
      <c r="B98" s="10" t="s">
        <v>69</v>
      </c>
      <c r="C98" s="10" t="s">
        <v>102</v>
      </c>
      <c r="D98" s="10">
        <v>-0.49</v>
      </c>
      <c r="E98" s="10" t="s">
        <v>22</v>
      </c>
    </row>
    <row r="99" spans="1:5" x14ac:dyDescent="0.2">
      <c r="A99" s="11">
        <v>45742</v>
      </c>
      <c r="B99" s="10" t="s">
        <v>69</v>
      </c>
      <c r="C99" s="10" t="s">
        <v>103</v>
      </c>
      <c r="D99" s="10">
        <v>-2.5</v>
      </c>
      <c r="E99" s="10" t="s">
        <v>22</v>
      </c>
    </row>
    <row r="100" spans="1:5" x14ac:dyDescent="0.2">
      <c r="A100" s="11">
        <v>45742</v>
      </c>
      <c r="B100" s="10" t="s">
        <v>69</v>
      </c>
      <c r="C100" s="10" t="s">
        <v>103</v>
      </c>
      <c r="D100" s="10">
        <v>-1.68</v>
      </c>
      <c r="E100" s="10" t="s">
        <v>22</v>
      </c>
    </row>
    <row r="101" spans="1:5" x14ac:dyDescent="0.2">
      <c r="A101" s="11">
        <v>45742</v>
      </c>
      <c r="B101" s="10" t="s">
        <v>69</v>
      </c>
      <c r="C101" s="10" t="s">
        <v>73</v>
      </c>
      <c r="D101" s="10">
        <v>-7.5</v>
      </c>
      <c r="E101" s="10" t="s">
        <v>22</v>
      </c>
    </row>
    <row r="102" spans="1:5" x14ac:dyDescent="0.2">
      <c r="A102" s="11">
        <v>45743</v>
      </c>
      <c r="B102" s="10" t="s">
        <v>69</v>
      </c>
      <c r="C102" s="10" t="s">
        <v>104</v>
      </c>
      <c r="D102" s="10">
        <v>-9.5</v>
      </c>
      <c r="E102" s="10" t="s">
        <v>22</v>
      </c>
    </row>
    <row r="103" spans="1:5" x14ac:dyDescent="0.2">
      <c r="A103" s="11">
        <v>45743</v>
      </c>
      <c r="B103" s="10" t="s">
        <v>69</v>
      </c>
      <c r="C103" s="10" t="s">
        <v>75</v>
      </c>
      <c r="D103" s="10">
        <v>-8.3699999999999992</v>
      </c>
      <c r="E103" s="10" t="s">
        <v>22</v>
      </c>
    </row>
    <row r="104" spans="1:5" x14ac:dyDescent="0.2">
      <c r="A104" s="11">
        <v>45743</v>
      </c>
      <c r="B104" s="10" t="s">
        <v>69</v>
      </c>
      <c r="C104" s="10" t="s">
        <v>105</v>
      </c>
      <c r="D104" s="10">
        <v>-19.12</v>
      </c>
      <c r="E104" s="10" t="s">
        <v>22</v>
      </c>
    </row>
    <row r="105" spans="1:5" x14ac:dyDescent="0.2">
      <c r="A105" s="11">
        <v>45743</v>
      </c>
      <c r="B105" s="10" t="s">
        <v>69</v>
      </c>
      <c r="C105" s="10" t="s">
        <v>103</v>
      </c>
      <c r="D105" s="10">
        <v>-1.5</v>
      </c>
      <c r="E105" s="10" t="s">
        <v>22</v>
      </c>
    </row>
    <row r="106" spans="1:5" x14ac:dyDescent="0.2">
      <c r="A106" s="11">
        <v>45743</v>
      </c>
      <c r="B106" s="10" t="s">
        <v>69</v>
      </c>
      <c r="C106" s="10" t="s">
        <v>103</v>
      </c>
      <c r="D106" s="10">
        <v>-1.8</v>
      </c>
      <c r="E106" s="10" t="s">
        <v>22</v>
      </c>
    </row>
    <row r="107" spans="1:5" x14ac:dyDescent="0.2">
      <c r="A107" s="11">
        <v>45744</v>
      </c>
      <c r="B107" s="10" t="s">
        <v>69</v>
      </c>
      <c r="C107" s="10" t="s">
        <v>106</v>
      </c>
      <c r="D107" s="10">
        <v>-5.25</v>
      </c>
      <c r="E107" s="10" t="s">
        <v>22</v>
      </c>
    </row>
    <row r="108" spans="1:5" x14ac:dyDescent="0.2">
      <c r="A108" s="11">
        <v>45744</v>
      </c>
      <c r="B108" s="10" t="s">
        <v>69</v>
      </c>
      <c r="C108" s="10" t="s">
        <v>98</v>
      </c>
      <c r="D108" s="10">
        <v>-1.58</v>
      </c>
      <c r="E108" s="10" t="s">
        <v>22</v>
      </c>
    </row>
    <row r="109" spans="1:5" x14ac:dyDescent="0.2">
      <c r="A109" s="11">
        <v>45744</v>
      </c>
      <c r="B109" s="10" t="s">
        <v>69</v>
      </c>
      <c r="C109" s="10" t="s">
        <v>107</v>
      </c>
      <c r="D109" s="10">
        <v>-3</v>
      </c>
      <c r="E109" s="10" t="s">
        <v>22</v>
      </c>
    </row>
    <row r="110" spans="1:5" x14ac:dyDescent="0.2">
      <c r="A110" s="11">
        <v>45744</v>
      </c>
      <c r="B110" s="10" t="s">
        <v>69</v>
      </c>
      <c r="C110" s="10" t="s">
        <v>107</v>
      </c>
      <c r="D110" s="10">
        <v>-3</v>
      </c>
      <c r="E110" s="10" t="s">
        <v>22</v>
      </c>
    </row>
    <row r="111" spans="1:5" x14ac:dyDescent="0.2">
      <c r="A111" s="11">
        <v>45742</v>
      </c>
      <c r="B111" s="10" t="s">
        <v>69</v>
      </c>
      <c r="C111" s="10" t="s">
        <v>108</v>
      </c>
      <c r="D111" s="10">
        <v>-2.21</v>
      </c>
      <c r="E111" s="10" t="s">
        <v>22</v>
      </c>
    </row>
    <row r="112" spans="1:5" x14ac:dyDescent="0.2">
      <c r="A112" s="11">
        <v>45744</v>
      </c>
      <c r="B112" s="10" t="s">
        <v>69</v>
      </c>
      <c r="C112" s="10" t="s">
        <v>103</v>
      </c>
      <c r="D112" s="10">
        <v>-2.2599999999999998</v>
      </c>
      <c r="E112" s="10" t="s">
        <v>22</v>
      </c>
    </row>
    <row r="113" spans="1:5" x14ac:dyDescent="0.2">
      <c r="A113" s="11">
        <v>45744</v>
      </c>
      <c r="B113" s="10" t="s">
        <v>69</v>
      </c>
      <c r="C113" s="10" t="s">
        <v>103</v>
      </c>
      <c r="D113" s="10">
        <v>-4</v>
      </c>
      <c r="E113" s="10" t="s">
        <v>22</v>
      </c>
    </row>
    <row r="114" spans="1:5" x14ac:dyDescent="0.2">
      <c r="A114" s="11">
        <v>45744</v>
      </c>
      <c r="B114" s="10" t="s">
        <v>69</v>
      </c>
      <c r="C114" s="10" t="s">
        <v>103</v>
      </c>
      <c r="D114" s="10">
        <v>-1.85</v>
      </c>
      <c r="E114" s="10" t="s">
        <v>22</v>
      </c>
    </row>
    <row r="115" spans="1:5" x14ac:dyDescent="0.2">
      <c r="A115" s="11">
        <v>45745</v>
      </c>
      <c r="B115" s="10" t="s">
        <v>69</v>
      </c>
      <c r="C115" s="10" t="s">
        <v>109</v>
      </c>
      <c r="D115" s="10">
        <v>-12.6</v>
      </c>
      <c r="E115" s="10" t="s">
        <v>22</v>
      </c>
    </row>
    <row r="116" spans="1:5" x14ac:dyDescent="0.2">
      <c r="A116" s="11">
        <v>45745</v>
      </c>
      <c r="B116" s="10" t="s">
        <v>69</v>
      </c>
      <c r="C116" s="10" t="s">
        <v>109</v>
      </c>
      <c r="D116" s="10">
        <v>-3.6</v>
      </c>
      <c r="E116" s="10" t="s">
        <v>22</v>
      </c>
    </row>
    <row r="117" spans="1:5" x14ac:dyDescent="0.2">
      <c r="A117" s="11">
        <v>45743</v>
      </c>
      <c r="B117" s="10" t="s">
        <v>69</v>
      </c>
      <c r="C117" s="10" t="s">
        <v>108</v>
      </c>
      <c r="D117" s="10">
        <v>-3.73</v>
      </c>
      <c r="E117" s="10" t="s">
        <v>22</v>
      </c>
    </row>
    <row r="118" spans="1:5" x14ac:dyDescent="0.2">
      <c r="A118" s="11">
        <v>45745</v>
      </c>
      <c r="B118" s="10" t="s">
        <v>69</v>
      </c>
      <c r="C118" s="10" t="s">
        <v>110</v>
      </c>
      <c r="D118" s="10">
        <v>-7.44</v>
      </c>
      <c r="E118" s="10" t="s">
        <v>22</v>
      </c>
    </row>
    <row r="119" spans="1:5" x14ac:dyDescent="0.2">
      <c r="A119" s="11">
        <v>45745</v>
      </c>
      <c r="B119" s="10" t="s">
        <v>69</v>
      </c>
      <c r="C119" s="10" t="s">
        <v>111</v>
      </c>
      <c r="D119" s="10">
        <v>-4.32</v>
      </c>
      <c r="E119" s="10" t="s">
        <v>22</v>
      </c>
    </row>
    <row r="120" spans="1:5" x14ac:dyDescent="0.2">
      <c r="A120" s="11">
        <v>45745</v>
      </c>
      <c r="B120" s="10" t="s">
        <v>69</v>
      </c>
      <c r="C120" s="10" t="s">
        <v>103</v>
      </c>
      <c r="D120" s="10">
        <v>-4.6100000000000003</v>
      </c>
      <c r="E120" s="10" t="s">
        <v>22</v>
      </c>
    </row>
    <row r="121" spans="1:5" x14ac:dyDescent="0.2">
      <c r="A121" s="11">
        <v>45746</v>
      </c>
      <c r="B121" s="10" t="s">
        <v>69</v>
      </c>
      <c r="C121" s="10" t="s">
        <v>98</v>
      </c>
      <c r="D121" s="10">
        <v>-2.5</v>
      </c>
      <c r="E121" s="10" t="s">
        <v>22</v>
      </c>
    </row>
    <row r="122" spans="1:5" x14ac:dyDescent="0.2">
      <c r="A122" s="11">
        <v>45746</v>
      </c>
      <c r="B122" s="10" t="s">
        <v>69</v>
      </c>
      <c r="C122" s="10" t="s">
        <v>112</v>
      </c>
      <c r="D122" s="10">
        <v>-3.82</v>
      </c>
      <c r="E122" s="10" t="s">
        <v>22</v>
      </c>
    </row>
    <row r="123" spans="1:5" x14ac:dyDescent="0.2">
      <c r="A123" s="11">
        <v>45744</v>
      </c>
      <c r="B123" s="10" t="s">
        <v>69</v>
      </c>
      <c r="C123" s="10" t="s">
        <v>108</v>
      </c>
      <c r="D123" s="10">
        <v>-1.54</v>
      </c>
      <c r="E123" s="10" t="s">
        <v>22</v>
      </c>
    </row>
    <row r="124" spans="1:5" x14ac:dyDescent="0.2">
      <c r="A124" s="11">
        <v>45744</v>
      </c>
      <c r="B124" s="10" t="s">
        <v>69</v>
      </c>
      <c r="C124" s="10" t="s">
        <v>108</v>
      </c>
      <c r="D124" s="10">
        <v>-1.54</v>
      </c>
      <c r="E124" s="10" t="s">
        <v>22</v>
      </c>
    </row>
    <row r="125" spans="1:5" x14ac:dyDescent="0.2">
      <c r="A125" s="11">
        <v>45747</v>
      </c>
      <c r="B125" s="10" t="s">
        <v>69</v>
      </c>
      <c r="C125" s="10" t="s">
        <v>113</v>
      </c>
      <c r="D125" s="10">
        <v>-1.25</v>
      </c>
      <c r="E125" s="10" t="s">
        <v>22</v>
      </c>
    </row>
    <row r="126" spans="1:5" x14ac:dyDescent="0.2">
      <c r="A126" s="11">
        <v>45747</v>
      </c>
      <c r="B126" s="10" t="s">
        <v>69</v>
      </c>
      <c r="C126" s="10" t="s">
        <v>114</v>
      </c>
      <c r="D126" s="10">
        <v>-2.4700000000000002</v>
      </c>
      <c r="E126" s="10" t="s">
        <v>22</v>
      </c>
    </row>
    <row r="127" spans="1:5" x14ac:dyDescent="0.2">
      <c r="A127" s="11">
        <v>45745</v>
      </c>
      <c r="B127" s="10" t="s">
        <v>69</v>
      </c>
      <c r="C127" s="10" t="s">
        <v>103</v>
      </c>
      <c r="D127" s="10">
        <v>-2.4300000000000002</v>
      </c>
      <c r="E127" s="10" t="s">
        <v>22</v>
      </c>
    </row>
    <row r="128" spans="1:5" x14ac:dyDescent="0.2">
      <c r="A128" s="11"/>
      <c r="B128" s="10"/>
      <c r="C128" s="10"/>
      <c r="D128" s="10"/>
      <c r="E128" s="10"/>
    </row>
    <row r="129" spans="1:5" x14ac:dyDescent="0.2">
      <c r="A129" s="11"/>
      <c r="B129" s="10"/>
      <c r="C129" s="10"/>
      <c r="D129" s="10"/>
      <c r="E129" s="10"/>
    </row>
    <row r="130" spans="1:5" x14ac:dyDescent="0.2">
      <c r="A130" s="11"/>
      <c r="B130" s="10"/>
      <c r="C130" s="10"/>
      <c r="D130" s="10"/>
      <c r="E130" s="10"/>
    </row>
    <row r="131" spans="1:5" x14ac:dyDescent="0.2">
      <c r="A131" s="11"/>
      <c r="B131" s="10"/>
      <c r="C131" s="10"/>
      <c r="D131" s="10"/>
      <c r="E131" s="10"/>
    </row>
    <row r="132" spans="1:5" x14ac:dyDescent="0.2">
      <c r="A132" s="11"/>
      <c r="B132" s="10"/>
      <c r="C132" s="10"/>
      <c r="D132" s="10"/>
      <c r="E132" s="10"/>
    </row>
    <row r="133" spans="1:5" x14ac:dyDescent="0.2">
      <c r="A133" s="11"/>
      <c r="B133" s="10"/>
      <c r="C133" s="10"/>
      <c r="D133" s="10"/>
      <c r="E133" s="10"/>
    </row>
  </sheetData>
  <mergeCells count="4">
    <mergeCell ref="G1:G26"/>
    <mergeCell ref="H1:I1"/>
    <mergeCell ref="H13:I13"/>
    <mergeCell ref="H26:I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CA17-7690-0D4A-96C3-EBF330FDC4A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7EC0A-9217-8449-9A84-5094861F0FBE}">
  <dimension ref="A1:E21"/>
  <sheetViews>
    <sheetView zoomScale="181" workbookViewId="0">
      <selection activeCell="B6" sqref="B6"/>
    </sheetView>
  </sheetViews>
  <sheetFormatPr baseColWidth="10" defaultRowHeight="16" x14ac:dyDescent="0.2"/>
  <cols>
    <col min="4" max="4" width="31.33203125" customWidth="1"/>
  </cols>
  <sheetData>
    <row r="1" spans="1:5" x14ac:dyDescent="0.2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</row>
    <row r="2" spans="1:5" ht="17" x14ac:dyDescent="0.2">
      <c r="A2" s="7">
        <v>45723</v>
      </c>
      <c r="B2" t="s">
        <v>33</v>
      </c>
      <c r="C2">
        <v>0.25</v>
      </c>
      <c r="D2" s="8">
        <v>98.93</v>
      </c>
      <c r="E2" s="1">
        <f>C2*D2</f>
        <v>24.732500000000002</v>
      </c>
    </row>
    <row r="3" spans="1:5" ht="17" x14ac:dyDescent="0.2">
      <c r="A3" s="7">
        <v>45747</v>
      </c>
      <c r="B3" t="s">
        <v>34</v>
      </c>
      <c r="C3">
        <v>0.3</v>
      </c>
      <c r="D3" s="8">
        <v>104.79</v>
      </c>
      <c r="E3" s="1">
        <f>C3*D3</f>
        <v>31.437000000000001</v>
      </c>
    </row>
    <row r="4" spans="1:5" x14ac:dyDescent="0.2">
      <c r="E4" s="1"/>
    </row>
    <row r="5" spans="1:5" x14ac:dyDescent="0.2">
      <c r="E5" s="1"/>
    </row>
    <row r="6" spans="1:5" x14ac:dyDescent="0.2">
      <c r="E6" s="1"/>
    </row>
    <row r="7" spans="1:5" x14ac:dyDescent="0.2">
      <c r="E7" s="1"/>
    </row>
    <row r="8" spans="1:5" x14ac:dyDescent="0.2">
      <c r="E8" s="1"/>
    </row>
    <row r="9" spans="1:5" x14ac:dyDescent="0.2">
      <c r="E9" s="1"/>
    </row>
    <row r="10" spans="1:5" x14ac:dyDescent="0.2">
      <c r="E10" s="1"/>
    </row>
    <row r="11" spans="1:5" x14ac:dyDescent="0.2">
      <c r="E11" s="1"/>
    </row>
    <row r="12" spans="1:5" x14ac:dyDescent="0.2">
      <c r="E12" s="1"/>
    </row>
    <row r="13" spans="1:5" x14ac:dyDescent="0.2">
      <c r="E13" s="1"/>
    </row>
    <row r="14" spans="1:5" x14ac:dyDescent="0.2">
      <c r="E14" s="1"/>
    </row>
    <row r="15" spans="1:5" x14ac:dyDescent="0.2">
      <c r="E15" s="1"/>
    </row>
    <row r="16" spans="1:5" x14ac:dyDescent="0.2">
      <c r="E16" s="1"/>
    </row>
    <row r="17" spans="5:5" x14ac:dyDescent="0.2">
      <c r="E17" s="1"/>
    </row>
    <row r="18" spans="5:5" x14ac:dyDescent="0.2">
      <c r="E18" s="1"/>
    </row>
    <row r="19" spans="5:5" x14ac:dyDescent="0.2">
      <c r="E19" s="1"/>
    </row>
    <row r="20" spans="5:5" x14ac:dyDescent="0.2">
      <c r="E20" s="1"/>
    </row>
    <row r="21" spans="5:5" x14ac:dyDescent="0.2">
      <c r="E21" s="1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A7154-8B16-B44C-B97C-A58C595BADDA}">
  <dimension ref="A1:F60"/>
  <sheetViews>
    <sheetView tabSelected="1" workbookViewId="0">
      <selection activeCell="F12" sqref="F12"/>
    </sheetView>
  </sheetViews>
  <sheetFormatPr baseColWidth="10" defaultRowHeight="16" x14ac:dyDescent="0.2"/>
  <cols>
    <col min="2" max="2" width="20.83203125" bestFit="1" customWidth="1"/>
    <col min="3" max="3" width="51.1640625" bestFit="1" customWidth="1"/>
    <col min="5" max="5" width="12.33203125" bestFit="1" customWidth="1"/>
    <col min="6" max="6" width="22.6640625" customWidth="1"/>
  </cols>
  <sheetData>
    <row r="1" spans="1:6" ht="20" x14ac:dyDescent="0.2">
      <c r="A1" s="22" t="s">
        <v>0</v>
      </c>
      <c r="B1" s="23" t="s">
        <v>6</v>
      </c>
      <c r="C1" s="23" t="s">
        <v>1</v>
      </c>
      <c r="D1" s="23" t="s">
        <v>2</v>
      </c>
      <c r="E1" s="23" t="s">
        <v>3</v>
      </c>
      <c r="F1" s="24" t="s">
        <v>4</v>
      </c>
    </row>
    <row r="2" spans="1:6" x14ac:dyDescent="0.2">
      <c r="A2" s="11">
        <v>45747</v>
      </c>
      <c r="B2" s="10" t="s">
        <v>35</v>
      </c>
      <c r="C2" s="10" t="s">
        <v>36</v>
      </c>
      <c r="D2" s="10">
        <v>-16.23</v>
      </c>
      <c r="E2" s="10" t="s">
        <v>22</v>
      </c>
      <c r="F2" s="10"/>
    </row>
    <row r="3" spans="1:6" x14ac:dyDescent="0.2">
      <c r="A3" s="11">
        <v>45747</v>
      </c>
      <c r="B3" s="10" t="s">
        <v>35</v>
      </c>
      <c r="C3" s="10" t="s">
        <v>37</v>
      </c>
      <c r="D3" s="10">
        <v>-32.18</v>
      </c>
      <c r="E3" s="10" t="s">
        <v>22</v>
      </c>
      <c r="F3" s="10"/>
    </row>
    <row r="4" spans="1:6" x14ac:dyDescent="0.2">
      <c r="A4" s="11">
        <v>45744</v>
      </c>
      <c r="B4" s="10" t="s">
        <v>35</v>
      </c>
      <c r="C4" s="10" t="s">
        <v>38</v>
      </c>
      <c r="D4" s="10">
        <v>-8.1999999999999993</v>
      </c>
      <c r="E4" s="10" t="s">
        <v>22</v>
      </c>
      <c r="F4" s="10"/>
    </row>
    <row r="5" spans="1:6" x14ac:dyDescent="0.2">
      <c r="A5" s="11">
        <v>45748</v>
      </c>
      <c r="B5" s="10" t="s">
        <v>50</v>
      </c>
      <c r="C5" s="10" t="s">
        <v>51</v>
      </c>
      <c r="D5" s="10">
        <v>-3.95</v>
      </c>
      <c r="E5" s="10" t="s">
        <v>22</v>
      </c>
      <c r="F5" s="10" t="s">
        <v>52</v>
      </c>
    </row>
    <row r="6" spans="1:6" x14ac:dyDescent="0.2">
      <c r="A6" s="11">
        <v>45748</v>
      </c>
      <c r="B6" s="10" t="s">
        <v>50</v>
      </c>
      <c r="C6" s="10" t="s">
        <v>54</v>
      </c>
      <c r="D6" s="10">
        <v>-5</v>
      </c>
      <c r="E6" s="10" t="s">
        <v>22</v>
      </c>
      <c r="F6" s="10" t="s">
        <v>55</v>
      </c>
    </row>
    <row r="7" spans="1:6" x14ac:dyDescent="0.2">
      <c r="A7" s="11">
        <v>45748</v>
      </c>
      <c r="B7" s="10" t="s">
        <v>50</v>
      </c>
      <c r="C7" s="10" t="s">
        <v>56</v>
      </c>
      <c r="D7" s="10">
        <v>-4.5</v>
      </c>
      <c r="E7" s="10" t="s">
        <v>22</v>
      </c>
      <c r="F7" s="10" t="s">
        <v>57</v>
      </c>
    </row>
    <row r="8" spans="1:6" x14ac:dyDescent="0.2">
      <c r="A8" s="11">
        <v>45748</v>
      </c>
      <c r="B8" s="10" t="s">
        <v>50</v>
      </c>
      <c r="C8" s="10" t="s">
        <v>58</v>
      </c>
      <c r="D8" s="10">
        <v>-20</v>
      </c>
      <c r="E8" s="10" t="s">
        <v>22</v>
      </c>
      <c r="F8" s="10" t="s">
        <v>59</v>
      </c>
    </row>
    <row r="9" spans="1:6" x14ac:dyDescent="0.2">
      <c r="A9" s="11">
        <v>45748</v>
      </c>
      <c r="B9" s="10" t="s">
        <v>50</v>
      </c>
      <c r="C9" s="10" t="s">
        <v>60</v>
      </c>
      <c r="D9" s="10">
        <v>1.1000000000000001</v>
      </c>
      <c r="E9" s="10" t="s">
        <v>22</v>
      </c>
      <c r="F9" s="10"/>
    </row>
    <row r="10" spans="1:6" x14ac:dyDescent="0.2">
      <c r="A10" s="11">
        <v>45747</v>
      </c>
      <c r="B10" s="10" t="s">
        <v>50</v>
      </c>
      <c r="C10" s="10" t="s">
        <v>61</v>
      </c>
      <c r="D10" s="10">
        <v>-17.2</v>
      </c>
      <c r="E10" s="10" t="s">
        <v>22</v>
      </c>
      <c r="F10" s="10"/>
    </row>
    <row r="11" spans="1:6" x14ac:dyDescent="0.2">
      <c r="A11" s="11">
        <v>45746</v>
      </c>
      <c r="B11" s="10" t="s">
        <v>50</v>
      </c>
      <c r="C11" s="10" t="s">
        <v>62</v>
      </c>
      <c r="D11" s="10">
        <v>-16</v>
      </c>
      <c r="E11" s="10" t="s">
        <v>22</v>
      </c>
      <c r="F11" s="10"/>
    </row>
    <row r="12" spans="1:6" x14ac:dyDescent="0.2">
      <c r="A12" s="11">
        <v>45745</v>
      </c>
      <c r="B12" s="10" t="s">
        <v>50</v>
      </c>
      <c r="C12" s="10" t="s">
        <v>63</v>
      </c>
      <c r="D12" s="10">
        <v>-5</v>
      </c>
      <c r="E12" s="10" t="s">
        <v>22</v>
      </c>
      <c r="F12" s="10"/>
    </row>
    <row r="13" spans="1:6" x14ac:dyDescent="0.2">
      <c r="A13" s="11">
        <v>45742</v>
      </c>
      <c r="B13" s="10" t="s">
        <v>50</v>
      </c>
      <c r="C13" s="10" t="s">
        <v>64</v>
      </c>
      <c r="D13" s="10">
        <v>-1.5</v>
      </c>
      <c r="E13" s="10" t="s">
        <v>22</v>
      </c>
      <c r="F13" s="10"/>
    </row>
    <row r="14" spans="1:6" x14ac:dyDescent="0.2">
      <c r="A14" s="11">
        <v>45717</v>
      </c>
      <c r="B14" s="10" t="s">
        <v>69</v>
      </c>
      <c r="C14" s="10" t="s">
        <v>71</v>
      </c>
      <c r="D14" s="10">
        <v>-18.600000000000001</v>
      </c>
      <c r="E14" s="10" t="s">
        <v>22</v>
      </c>
      <c r="F14" s="6"/>
    </row>
    <row r="15" spans="1:6" x14ac:dyDescent="0.2">
      <c r="A15" s="11">
        <v>45717</v>
      </c>
      <c r="B15" s="10" t="s">
        <v>69</v>
      </c>
      <c r="C15" s="10" t="s">
        <v>72</v>
      </c>
      <c r="D15" s="10">
        <v>-27.37</v>
      </c>
      <c r="E15" s="10" t="s">
        <v>22</v>
      </c>
      <c r="F15" s="6"/>
    </row>
    <row r="16" spans="1:6" x14ac:dyDescent="0.2">
      <c r="A16" s="11">
        <v>45729</v>
      </c>
      <c r="B16" s="10" t="s">
        <v>69</v>
      </c>
      <c r="C16" s="10" t="s">
        <v>72</v>
      </c>
      <c r="D16" s="10">
        <v>-14.97</v>
      </c>
      <c r="E16" s="10" t="s">
        <v>22</v>
      </c>
      <c r="F16" s="6"/>
    </row>
    <row r="17" spans="1:6" x14ac:dyDescent="0.2">
      <c r="A17" s="11">
        <v>45740</v>
      </c>
      <c r="B17" s="10" t="s">
        <v>69</v>
      </c>
      <c r="C17" s="10" t="s">
        <v>94</v>
      </c>
      <c r="D17" s="10">
        <v>-3.51</v>
      </c>
      <c r="E17" s="10" t="s">
        <v>22</v>
      </c>
      <c r="F17" s="6"/>
    </row>
    <row r="18" spans="1:6" x14ac:dyDescent="0.2">
      <c r="A18" s="11">
        <v>45741</v>
      </c>
      <c r="B18" s="10" t="s">
        <v>69</v>
      </c>
      <c r="C18" s="10" t="s">
        <v>95</v>
      </c>
      <c r="D18" s="10">
        <v>-2</v>
      </c>
      <c r="E18" s="10" t="s">
        <v>22</v>
      </c>
      <c r="F18" s="6"/>
    </row>
    <row r="19" spans="1:6" x14ac:dyDescent="0.2">
      <c r="A19" s="11">
        <v>45741</v>
      </c>
      <c r="B19" s="10" t="s">
        <v>69</v>
      </c>
      <c r="C19" s="10" t="s">
        <v>96</v>
      </c>
      <c r="D19" s="10">
        <v>-4.8</v>
      </c>
      <c r="E19" s="10" t="s">
        <v>22</v>
      </c>
      <c r="F19" s="6"/>
    </row>
    <row r="20" spans="1:6" x14ac:dyDescent="0.2">
      <c r="A20" s="11">
        <v>45741</v>
      </c>
      <c r="B20" s="10" t="s">
        <v>69</v>
      </c>
      <c r="C20" s="10" t="s">
        <v>97</v>
      </c>
      <c r="D20" s="10">
        <v>-3.69</v>
      </c>
      <c r="E20" s="10" t="s">
        <v>22</v>
      </c>
      <c r="F20" s="6"/>
    </row>
    <row r="21" spans="1:6" x14ac:dyDescent="0.2">
      <c r="A21" s="11">
        <v>45742</v>
      </c>
      <c r="B21" s="10" t="s">
        <v>69</v>
      </c>
      <c r="C21" s="10" t="s">
        <v>98</v>
      </c>
      <c r="D21" s="10">
        <v>-4</v>
      </c>
      <c r="E21" s="10" t="s">
        <v>22</v>
      </c>
      <c r="F21" s="6"/>
    </row>
    <row r="22" spans="1:6" x14ac:dyDescent="0.2">
      <c r="A22" s="11">
        <v>45741</v>
      </c>
      <c r="B22" s="10" t="s">
        <v>69</v>
      </c>
      <c r="C22" s="10" t="s">
        <v>99</v>
      </c>
      <c r="D22" s="10">
        <v>-0.5</v>
      </c>
      <c r="E22" s="10" t="s">
        <v>22</v>
      </c>
      <c r="F22" s="6"/>
    </row>
    <row r="23" spans="1:6" x14ac:dyDescent="0.2">
      <c r="A23" s="11">
        <v>45741</v>
      </c>
      <c r="B23" s="10" t="s">
        <v>69</v>
      </c>
      <c r="C23" s="10" t="s">
        <v>99</v>
      </c>
      <c r="D23" s="10">
        <v>-0.5</v>
      </c>
      <c r="E23" s="10" t="s">
        <v>22</v>
      </c>
      <c r="F23" s="6"/>
    </row>
    <row r="24" spans="1:6" x14ac:dyDescent="0.2">
      <c r="A24" s="11">
        <v>45741</v>
      </c>
      <c r="B24" s="10" t="s">
        <v>69</v>
      </c>
      <c r="C24" s="10" t="s">
        <v>100</v>
      </c>
      <c r="D24" s="10">
        <v>-1.1000000000000001</v>
      </c>
      <c r="E24" s="10" t="s">
        <v>22</v>
      </c>
      <c r="F24" s="6"/>
    </row>
    <row r="25" spans="1:6" x14ac:dyDescent="0.2">
      <c r="A25" s="11">
        <v>45741</v>
      </c>
      <c r="B25" s="10" t="s">
        <v>69</v>
      </c>
      <c r="C25" s="10" t="s">
        <v>72</v>
      </c>
      <c r="D25" s="10">
        <v>-31.8</v>
      </c>
      <c r="E25" s="10" t="s">
        <v>22</v>
      </c>
      <c r="F25" s="6"/>
    </row>
    <row r="26" spans="1:6" x14ac:dyDescent="0.2">
      <c r="A26" s="11">
        <v>45742</v>
      </c>
      <c r="B26" s="10" t="s">
        <v>69</v>
      </c>
      <c r="C26" s="10" t="s">
        <v>101</v>
      </c>
      <c r="D26" s="10">
        <v>-6.94</v>
      </c>
      <c r="E26" s="10" t="s">
        <v>22</v>
      </c>
      <c r="F26" s="6"/>
    </row>
    <row r="27" spans="1:6" x14ac:dyDescent="0.2">
      <c r="A27" s="11">
        <v>45742</v>
      </c>
      <c r="B27" s="10" t="s">
        <v>69</v>
      </c>
      <c r="C27" s="10" t="s">
        <v>102</v>
      </c>
      <c r="D27" s="10">
        <v>-0.49</v>
      </c>
      <c r="E27" s="10" t="s">
        <v>22</v>
      </c>
      <c r="F27" s="6"/>
    </row>
    <row r="28" spans="1:6" x14ac:dyDescent="0.2">
      <c r="A28" s="11">
        <v>45742</v>
      </c>
      <c r="B28" s="10" t="s">
        <v>69</v>
      </c>
      <c r="C28" s="10" t="s">
        <v>103</v>
      </c>
      <c r="D28" s="10">
        <v>-2.5</v>
      </c>
      <c r="E28" s="10" t="s">
        <v>22</v>
      </c>
      <c r="F28" s="6"/>
    </row>
    <row r="29" spans="1:6" x14ac:dyDescent="0.2">
      <c r="A29" s="11">
        <v>45742</v>
      </c>
      <c r="B29" s="10" t="s">
        <v>69</v>
      </c>
      <c r="C29" s="10" t="s">
        <v>103</v>
      </c>
      <c r="D29" s="10">
        <v>-1.68</v>
      </c>
      <c r="E29" s="10" t="s">
        <v>22</v>
      </c>
      <c r="F29" s="6"/>
    </row>
    <row r="30" spans="1:6" x14ac:dyDescent="0.2">
      <c r="A30" s="11">
        <v>45742</v>
      </c>
      <c r="B30" s="10" t="s">
        <v>69</v>
      </c>
      <c r="C30" s="10" t="s">
        <v>73</v>
      </c>
      <c r="D30" s="10">
        <v>-7.5</v>
      </c>
      <c r="E30" s="10" t="s">
        <v>22</v>
      </c>
      <c r="F30" s="6"/>
    </row>
    <row r="31" spans="1:6" x14ac:dyDescent="0.2">
      <c r="A31" s="11">
        <v>45743</v>
      </c>
      <c r="B31" s="10" t="s">
        <v>69</v>
      </c>
      <c r="C31" s="10" t="s">
        <v>104</v>
      </c>
      <c r="D31" s="10">
        <v>-9.5</v>
      </c>
      <c r="E31" s="10" t="s">
        <v>22</v>
      </c>
      <c r="F31" s="6"/>
    </row>
    <row r="32" spans="1:6" x14ac:dyDescent="0.2">
      <c r="A32" s="11">
        <v>45743</v>
      </c>
      <c r="B32" s="10" t="s">
        <v>69</v>
      </c>
      <c r="C32" s="10" t="s">
        <v>75</v>
      </c>
      <c r="D32" s="10">
        <v>-8.3699999999999992</v>
      </c>
      <c r="E32" s="10" t="s">
        <v>22</v>
      </c>
      <c r="F32" s="6"/>
    </row>
    <row r="33" spans="1:6" x14ac:dyDescent="0.2">
      <c r="A33" s="11">
        <v>45743</v>
      </c>
      <c r="B33" s="10" t="s">
        <v>69</v>
      </c>
      <c r="C33" s="10" t="s">
        <v>105</v>
      </c>
      <c r="D33" s="10">
        <v>-19.12</v>
      </c>
      <c r="E33" s="10" t="s">
        <v>22</v>
      </c>
      <c r="F33" s="6"/>
    </row>
    <row r="34" spans="1:6" x14ac:dyDescent="0.2">
      <c r="A34" s="11">
        <v>45743</v>
      </c>
      <c r="B34" s="10" t="s">
        <v>69</v>
      </c>
      <c r="C34" s="10" t="s">
        <v>103</v>
      </c>
      <c r="D34" s="10">
        <v>-1.5</v>
      </c>
      <c r="E34" s="10" t="s">
        <v>22</v>
      </c>
      <c r="F34" s="6"/>
    </row>
    <row r="35" spans="1:6" x14ac:dyDescent="0.2">
      <c r="A35" s="11">
        <v>45743</v>
      </c>
      <c r="B35" s="10" t="s">
        <v>69</v>
      </c>
      <c r="C35" s="10" t="s">
        <v>103</v>
      </c>
      <c r="D35" s="10">
        <v>-1.8</v>
      </c>
      <c r="E35" s="10" t="s">
        <v>22</v>
      </c>
      <c r="F35" s="6"/>
    </row>
    <row r="36" spans="1:6" x14ac:dyDescent="0.2">
      <c r="A36" s="11">
        <v>45744</v>
      </c>
      <c r="B36" s="10" t="s">
        <v>69</v>
      </c>
      <c r="C36" s="10" t="s">
        <v>106</v>
      </c>
      <c r="D36" s="10">
        <v>-5.25</v>
      </c>
      <c r="E36" s="10" t="s">
        <v>22</v>
      </c>
      <c r="F36" s="6"/>
    </row>
    <row r="37" spans="1:6" x14ac:dyDescent="0.2">
      <c r="A37" s="11">
        <v>45744</v>
      </c>
      <c r="B37" s="10" t="s">
        <v>69</v>
      </c>
      <c r="C37" s="10" t="s">
        <v>98</v>
      </c>
      <c r="D37" s="10">
        <v>-1.58</v>
      </c>
      <c r="E37" s="10" t="s">
        <v>22</v>
      </c>
      <c r="F37" s="6"/>
    </row>
    <row r="38" spans="1:6" x14ac:dyDescent="0.2">
      <c r="A38" s="11">
        <v>45744</v>
      </c>
      <c r="B38" s="10" t="s">
        <v>69</v>
      </c>
      <c r="C38" s="10" t="s">
        <v>107</v>
      </c>
      <c r="D38" s="10">
        <v>-3</v>
      </c>
      <c r="E38" s="10" t="s">
        <v>22</v>
      </c>
      <c r="F38" s="6"/>
    </row>
    <row r="39" spans="1:6" x14ac:dyDescent="0.2">
      <c r="A39" s="11">
        <v>45744</v>
      </c>
      <c r="B39" s="10" t="s">
        <v>69</v>
      </c>
      <c r="C39" s="10" t="s">
        <v>107</v>
      </c>
      <c r="D39" s="10">
        <v>-3</v>
      </c>
      <c r="E39" s="10" t="s">
        <v>22</v>
      </c>
      <c r="F39" s="6"/>
    </row>
    <row r="40" spans="1:6" x14ac:dyDescent="0.2">
      <c r="A40" s="11">
        <v>45742</v>
      </c>
      <c r="B40" s="10" t="s">
        <v>69</v>
      </c>
      <c r="C40" s="10" t="s">
        <v>108</v>
      </c>
      <c r="D40" s="10">
        <v>-2.21</v>
      </c>
      <c r="E40" s="10" t="s">
        <v>22</v>
      </c>
      <c r="F40" s="6"/>
    </row>
    <row r="41" spans="1:6" x14ac:dyDescent="0.2">
      <c r="A41" s="11">
        <v>45744</v>
      </c>
      <c r="B41" s="10" t="s">
        <v>69</v>
      </c>
      <c r="C41" s="10" t="s">
        <v>103</v>
      </c>
      <c r="D41" s="10">
        <v>-2.2599999999999998</v>
      </c>
      <c r="E41" s="10" t="s">
        <v>22</v>
      </c>
      <c r="F41" s="6"/>
    </row>
    <row r="42" spans="1:6" x14ac:dyDescent="0.2">
      <c r="A42" s="11">
        <v>45744</v>
      </c>
      <c r="B42" s="10" t="s">
        <v>69</v>
      </c>
      <c r="C42" s="10" t="s">
        <v>103</v>
      </c>
      <c r="D42" s="10">
        <v>-4</v>
      </c>
      <c r="E42" s="10" t="s">
        <v>22</v>
      </c>
      <c r="F42" s="6"/>
    </row>
    <row r="43" spans="1:6" x14ac:dyDescent="0.2">
      <c r="A43" s="11">
        <v>45744</v>
      </c>
      <c r="B43" s="10" t="s">
        <v>69</v>
      </c>
      <c r="C43" s="10" t="s">
        <v>103</v>
      </c>
      <c r="D43" s="10">
        <v>-1.85</v>
      </c>
      <c r="E43" s="10" t="s">
        <v>22</v>
      </c>
      <c r="F43" s="6"/>
    </row>
    <row r="44" spans="1:6" x14ac:dyDescent="0.2">
      <c r="A44" s="11">
        <v>45745</v>
      </c>
      <c r="B44" s="10" t="s">
        <v>69</v>
      </c>
      <c r="C44" s="10" t="s">
        <v>109</v>
      </c>
      <c r="D44" s="10">
        <v>-12.6</v>
      </c>
      <c r="E44" s="10" t="s">
        <v>22</v>
      </c>
      <c r="F44" s="6"/>
    </row>
    <row r="45" spans="1:6" x14ac:dyDescent="0.2">
      <c r="A45" s="11">
        <v>45745</v>
      </c>
      <c r="B45" s="10" t="s">
        <v>69</v>
      </c>
      <c r="C45" s="10" t="s">
        <v>109</v>
      </c>
      <c r="D45" s="10">
        <v>-3.6</v>
      </c>
      <c r="E45" s="10" t="s">
        <v>22</v>
      </c>
      <c r="F45" s="6"/>
    </row>
    <row r="46" spans="1:6" x14ac:dyDescent="0.2">
      <c r="A46" s="11">
        <v>45743</v>
      </c>
      <c r="B46" s="10" t="s">
        <v>69</v>
      </c>
      <c r="C46" s="10" t="s">
        <v>108</v>
      </c>
      <c r="D46" s="10">
        <v>-3.73</v>
      </c>
      <c r="E46" s="10" t="s">
        <v>22</v>
      </c>
      <c r="F46" s="6"/>
    </row>
    <row r="47" spans="1:6" x14ac:dyDescent="0.2">
      <c r="A47" s="11">
        <v>45745</v>
      </c>
      <c r="B47" s="10" t="s">
        <v>69</v>
      </c>
      <c r="C47" s="10" t="s">
        <v>110</v>
      </c>
      <c r="D47" s="10">
        <v>-7.44</v>
      </c>
      <c r="E47" s="10" t="s">
        <v>22</v>
      </c>
      <c r="F47" s="6"/>
    </row>
    <row r="48" spans="1:6" x14ac:dyDescent="0.2">
      <c r="A48" s="11">
        <v>45745</v>
      </c>
      <c r="B48" s="10" t="s">
        <v>69</v>
      </c>
      <c r="C48" s="10" t="s">
        <v>111</v>
      </c>
      <c r="D48" s="10">
        <v>-4.32</v>
      </c>
      <c r="E48" s="10" t="s">
        <v>22</v>
      </c>
      <c r="F48" s="6"/>
    </row>
    <row r="49" spans="1:6" x14ac:dyDescent="0.2">
      <c r="A49" s="11">
        <v>45745</v>
      </c>
      <c r="B49" s="10" t="s">
        <v>69</v>
      </c>
      <c r="C49" s="10" t="s">
        <v>103</v>
      </c>
      <c r="D49" s="10">
        <v>-4.6100000000000003</v>
      </c>
      <c r="E49" s="10" t="s">
        <v>22</v>
      </c>
      <c r="F49" s="6"/>
    </row>
    <row r="50" spans="1:6" x14ac:dyDescent="0.2">
      <c r="A50" s="11">
        <v>45746</v>
      </c>
      <c r="B50" s="10" t="s">
        <v>69</v>
      </c>
      <c r="C50" s="10" t="s">
        <v>98</v>
      </c>
      <c r="D50" s="10">
        <v>-2.5</v>
      </c>
      <c r="E50" s="10" t="s">
        <v>22</v>
      </c>
      <c r="F50" s="6"/>
    </row>
    <row r="51" spans="1:6" x14ac:dyDescent="0.2">
      <c r="A51" s="11">
        <v>45746</v>
      </c>
      <c r="B51" s="10" t="s">
        <v>69</v>
      </c>
      <c r="C51" s="10" t="s">
        <v>112</v>
      </c>
      <c r="D51" s="10">
        <v>-3.82</v>
      </c>
      <c r="E51" s="10" t="s">
        <v>22</v>
      </c>
      <c r="F51" s="6"/>
    </row>
    <row r="52" spans="1:6" x14ac:dyDescent="0.2">
      <c r="A52" s="11">
        <v>45744</v>
      </c>
      <c r="B52" s="10" t="s">
        <v>69</v>
      </c>
      <c r="C52" s="10" t="s">
        <v>108</v>
      </c>
      <c r="D52" s="10">
        <v>-1.54</v>
      </c>
      <c r="E52" s="10" t="s">
        <v>22</v>
      </c>
      <c r="F52" s="6"/>
    </row>
    <row r="53" spans="1:6" x14ac:dyDescent="0.2">
      <c r="A53" s="11">
        <v>45744</v>
      </c>
      <c r="B53" s="10" t="s">
        <v>69</v>
      </c>
      <c r="C53" s="10" t="s">
        <v>108</v>
      </c>
      <c r="D53" s="10">
        <v>-1.54</v>
      </c>
      <c r="E53" s="10" t="s">
        <v>22</v>
      </c>
      <c r="F53" s="6"/>
    </row>
    <row r="54" spans="1:6" x14ac:dyDescent="0.2">
      <c r="A54" s="11">
        <v>45747</v>
      </c>
      <c r="B54" s="10" t="s">
        <v>69</v>
      </c>
      <c r="C54" s="10" t="s">
        <v>113</v>
      </c>
      <c r="D54" s="10">
        <v>-1.25</v>
      </c>
      <c r="E54" s="10" t="s">
        <v>22</v>
      </c>
      <c r="F54" s="6"/>
    </row>
    <row r="55" spans="1:6" x14ac:dyDescent="0.2">
      <c r="A55" s="11">
        <v>45747</v>
      </c>
      <c r="B55" s="10" t="s">
        <v>69</v>
      </c>
      <c r="C55" s="10" t="s">
        <v>114</v>
      </c>
      <c r="D55" s="10">
        <v>-2.4700000000000002</v>
      </c>
      <c r="E55" s="10" t="s">
        <v>22</v>
      </c>
      <c r="F55" s="6"/>
    </row>
    <row r="56" spans="1:6" x14ac:dyDescent="0.2">
      <c r="A56" s="11">
        <v>45748</v>
      </c>
      <c r="B56" s="10" t="s">
        <v>69</v>
      </c>
      <c r="C56" s="10" t="s">
        <v>115</v>
      </c>
      <c r="D56" s="10">
        <v>-3.05</v>
      </c>
      <c r="E56" s="10" t="s">
        <v>22</v>
      </c>
      <c r="F56" s="6"/>
    </row>
    <row r="57" spans="1:6" x14ac:dyDescent="0.2">
      <c r="A57" s="11">
        <v>45748</v>
      </c>
      <c r="B57" s="10" t="s">
        <v>69</v>
      </c>
      <c r="C57" s="10" t="s">
        <v>116</v>
      </c>
      <c r="D57" s="10">
        <v>-1.9</v>
      </c>
      <c r="E57" s="10" t="s">
        <v>22</v>
      </c>
      <c r="F57" s="6"/>
    </row>
    <row r="58" spans="1:6" x14ac:dyDescent="0.2">
      <c r="A58" s="11">
        <v>45748</v>
      </c>
      <c r="B58" s="10" t="s">
        <v>69</v>
      </c>
      <c r="C58" s="10" t="s">
        <v>117</v>
      </c>
      <c r="D58" s="10">
        <v>-1.2</v>
      </c>
      <c r="E58" s="10" t="s">
        <v>22</v>
      </c>
      <c r="F58" s="6"/>
    </row>
    <row r="59" spans="1:6" x14ac:dyDescent="0.2">
      <c r="A59" s="11">
        <v>45748</v>
      </c>
      <c r="B59" s="10" t="s">
        <v>69</v>
      </c>
      <c r="C59" s="10" t="s">
        <v>75</v>
      </c>
      <c r="D59" s="10">
        <v>-5.5</v>
      </c>
      <c r="E59" s="10" t="s">
        <v>22</v>
      </c>
      <c r="F59" s="6"/>
    </row>
    <row r="60" spans="1:6" x14ac:dyDescent="0.2">
      <c r="A60" s="11">
        <v>45745</v>
      </c>
      <c r="B60" s="10" t="s">
        <v>69</v>
      </c>
      <c r="C60" s="10" t="s">
        <v>103</v>
      </c>
      <c r="D60" s="10">
        <v>-2.4300000000000002</v>
      </c>
      <c r="E60" s="10" t="s">
        <v>22</v>
      </c>
      <c r="F6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 txs</vt:lpstr>
      <vt:lpstr>Crypto</vt:lpstr>
      <vt:lpstr>Stocks</vt:lpstr>
      <vt:lpstr>Trip To Poland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Semeniuk</dc:creator>
  <cp:lastModifiedBy>Dmytro Semeniuk</cp:lastModifiedBy>
  <dcterms:created xsi:type="dcterms:W3CDTF">2025-01-01T23:49:02Z</dcterms:created>
  <dcterms:modified xsi:type="dcterms:W3CDTF">2025-04-04T11:12:54Z</dcterms:modified>
</cp:coreProperties>
</file>