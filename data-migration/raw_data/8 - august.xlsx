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test/Documents/Documents(Mac)/Personal/finance-tracker/excel/monthly/"/>
    </mc:Choice>
  </mc:AlternateContent>
  <xr:revisionPtr revIDLastSave="0" documentId="13_ncr:1_{E0ACAFEC-AEB2-334E-8C05-C24E24DC2F03}" xr6:coauthVersionLast="47" xr6:coauthVersionMax="47" xr10:uidLastSave="{00000000-0000-0000-0000-000000000000}"/>
  <bookViews>
    <workbookView xWindow="-22940" yWindow="7240" windowWidth="22940" windowHeight="14360" activeTab="1" xr2:uid="{00000000-000D-0000-FFFF-FFFF00000000}"/>
  </bookViews>
  <sheets>
    <sheet name="Transactions" sheetId="1" r:id="rId1"/>
    <sheet name="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2" l="1"/>
  <c r="C73" i="1" l="1"/>
  <c r="B18" i="2"/>
  <c r="B19" i="2"/>
  <c r="B21" i="2"/>
  <c r="B22" i="2"/>
  <c r="B23" i="2"/>
  <c r="B24" i="2"/>
  <c r="B17" i="2"/>
  <c r="B16" i="2"/>
  <c r="B15" i="2"/>
  <c r="B14" i="2"/>
  <c r="B13" i="2"/>
  <c r="B25" i="2" l="1"/>
  <c r="B28" i="2" s="1"/>
</calcChain>
</file>

<file path=xl/sharedStrings.xml><?xml version="1.0" encoding="utf-8"?>
<sst xmlns="http://schemas.openxmlformats.org/spreadsheetml/2006/main" count="232" uniqueCount="86">
  <si>
    <t>txn_date</t>
  </si>
  <si>
    <t>description</t>
  </si>
  <si>
    <t>amount</t>
  </si>
  <si>
    <t>category</t>
  </si>
  <si>
    <t>note</t>
  </si>
  <si>
    <t>31/07/2025</t>
  </si>
  <si>
    <t>SPAR Food &amp; Fuel</t>
  </si>
  <si>
    <t>01/08/2025</t>
  </si>
  <si>
    <t>Petrol</t>
  </si>
  <si>
    <t>AliExpress</t>
  </si>
  <si>
    <t>02/08/2025</t>
  </si>
  <si>
    <t>04/08/2025</t>
  </si>
  <si>
    <t>U17357273 Dmytro Semeniuk</t>
  </si>
  <si>
    <t>Transfer from ARTUR NASIROV</t>
  </si>
  <si>
    <t>Chatgpt</t>
  </si>
  <si>
    <t>05/08/2025</t>
  </si>
  <si>
    <t>GOOGLE *YouTubePremium</t>
  </si>
  <si>
    <t>06/08/2025</t>
  </si>
  <si>
    <t>INA</t>
  </si>
  <si>
    <t>07/08/2025</t>
  </si>
  <si>
    <t>KEKS Pay</t>
  </si>
  <si>
    <t>08/08/2025</t>
  </si>
  <si>
    <t>10/08/2025</t>
  </si>
  <si>
    <t>UPLATA NA DEPOZITNOM BANKOMATU</t>
  </si>
  <si>
    <t>Plodine</t>
  </si>
  <si>
    <t>11/08/2025</t>
  </si>
  <si>
    <t>Apple</t>
  </si>
  <si>
    <t>Mlinar</t>
  </si>
  <si>
    <t>14/08/2025</t>
  </si>
  <si>
    <t>16/08/2025</t>
  </si>
  <si>
    <t>17/08/2025</t>
  </si>
  <si>
    <t>Tommy Hilfiger</t>
  </si>
  <si>
    <t>18/08/2025</t>
  </si>
  <si>
    <t>Bmove</t>
  </si>
  <si>
    <t>KEKS Pay - Plaćanje na prodajnom mjestu DPD Croatia - 236755552</t>
  </si>
  <si>
    <t>iRealOne j. d. o. o., Otkup od fizičke osobe</t>
  </si>
  <si>
    <t>Parkiralište</t>
  </si>
  <si>
    <t>Pizza Hut</t>
  </si>
  <si>
    <t>19/08/2025</t>
  </si>
  <si>
    <t>20/08/2025</t>
  </si>
  <si>
    <t>462765XXXXXX9899, PETROL PM RIJEKA, VEZICA RIJEKA</t>
  </si>
  <si>
    <t>21/08/2025</t>
  </si>
  <si>
    <t>Transfer to ARTUR NASIROV</t>
  </si>
  <si>
    <t>UROŠEVIĆ IGOR, Pozajmnica</t>
  </si>
  <si>
    <t>23/08/2025</t>
  </si>
  <si>
    <t>Pekara Jadran</t>
  </si>
  <si>
    <t>24/08/2025</t>
  </si>
  <si>
    <t>25/08/2025</t>
  </si>
  <si>
    <t>26/08/2025</t>
  </si>
  <si>
    <t>Tower Center Rijeka</t>
  </si>
  <si>
    <t>Vierudgroup</t>
  </si>
  <si>
    <t>27/08/2025</t>
  </si>
  <si>
    <t>28/08/2025</t>
  </si>
  <si>
    <t>29/08/2025</t>
  </si>
  <si>
    <t>31/08/2025</t>
  </si>
  <si>
    <t>Lidl</t>
  </si>
  <si>
    <t>Дав сестрі</t>
  </si>
  <si>
    <t>Кофе</t>
  </si>
  <si>
    <t>Стрижка</t>
  </si>
  <si>
    <t>Кофе Боннавія</t>
  </si>
  <si>
    <t>мама дала на бенз</t>
  </si>
  <si>
    <t>Більярд і кофе</t>
  </si>
  <si>
    <t>CASH</t>
  </si>
  <si>
    <t>ERSTE</t>
  </si>
  <si>
    <t>REVOLUT</t>
  </si>
  <si>
    <t>MONOBANK</t>
  </si>
  <si>
    <t>STOCKS INVESTMENTS</t>
  </si>
  <si>
    <t>CRYPTO INVESTMENTS</t>
  </si>
  <si>
    <t>EMERGENCY FUND</t>
  </si>
  <si>
    <t>SPENT BY CATEGORIES</t>
  </si>
  <si>
    <t>Groceries</t>
  </si>
  <si>
    <t>Transportation</t>
  </si>
  <si>
    <t>Coffee</t>
  </si>
  <si>
    <t>Dining &amp; Restaurants</t>
  </si>
  <si>
    <t>Shopping</t>
  </si>
  <si>
    <t>Home</t>
  </si>
  <si>
    <t>Cash Withdrawals</t>
  </si>
  <si>
    <t>Entertainment &amp; Subscriptions</t>
  </si>
  <si>
    <t>Travelling</t>
  </si>
  <si>
    <t>Education &amp; Studying</t>
  </si>
  <si>
    <t>Investments</t>
  </si>
  <si>
    <t>Other</t>
  </si>
  <si>
    <t>Total spend</t>
  </si>
  <si>
    <t>Income</t>
  </si>
  <si>
    <t>Кофе з мамою і Аріною</t>
  </si>
  <si>
    <t>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</si>
</sst>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€-2]\ * #,##0.00_);_([$€-2]\ * \(#,##0.00\);_([$€-2]\ * &quot;-&quot;??_);_(@_)"/>
    <numFmt numFmtId="165" formatCode="_([$UAH]\ * #,##0.00_);_([$UAH]\ * \(#,##0.00\);_([$UAH]\ 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  <font>
      <sz val="15"/>
      <color rgb="FFFFFFFF"/>
      <name val="Aptos Narrow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83CCEC"/>
        <bgColor rgb="FF000000"/>
      </patternFill>
    </fill>
    <fill>
      <patternFill patternType="solid">
        <fgColor rgb="FF92D050"/>
        <b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" fontId="0" fillId="0" borderId="0" xfId="0" applyNumberFormat="1"/>
    <xf numFmtId="0" fontId="2" fillId="2" borderId="1" xfId="0" applyFont="1" applyFill="1" applyBorder="1"/>
    <xf numFmtId="164" fontId="2" fillId="2" borderId="2" xfId="0" applyNumberFormat="1" applyFont="1" applyFill="1" applyBorder="1"/>
    <xf numFmtId="0" fontId="2" fillId="2" borderId="3" xfId="0" applyFont="1" applyFill="1" applyBorder="1"/>
    <xf numFmtId="164" fontId="2" fillId="2" borderId="4" xfId="0" applyNumberFormat="1" applyFont="1" applyFill="1" applyBorder="1"/>
    <xf numFmtId="0" fontId="2" fillId="0" borderId="0" xfId="0" applyFont="1"/>
    <xf numFmtId="0" fontId="2" fillId="2" borderId="4" xfId="0" applyFont="1" applyFill="1" applyBorder="1"/>
    <xf numFmtId="44" fontId="2" fillId="2" borderId="4" xfId="0" applyNumberFormat="1" applyFont="1" applyFill="1" applyBorder="1"/>
    <xf numFmtId="0" fontId="2" fillId="2" borderId="6" xfId="0" applyFont="1" applyFill="1" applyBorder="1"/>
    <xf numFmtId="0" fontId="4" fillId="0" borderId="0" xfId="0" applyFont="1"/>
    <xf numFmtId="0" fontId="4" fillId="4" borderId="0" xfId="0" applyFont="1" applyFill="1"/>
    <xf numFmtId="0" fontId="1" fillId="0" borderId="3" xfId="0" applyFont="1" applyBorder="1" applyAlignment="1">
      <alignment horizontal="center" vertical="top"/>
    </xf>
    <xf numFmtId="2" fontId="0" fillId="0" borderId="0" xfId="0" applyNumberFormat="1"/>
    <xf numFmtId="2" fontId="5" fillId="0" borderId="0" xfId="0" applyNumberFormat="1" applyFont="1"/>
    <xf numFmtId="165" fontId="6" fillId="2" borderId="4" xfId="0" applyNumberFormat="1" applyFont="1" applyFill="1" applyBorder="1"/>
    <xf numFmtId="164" fontId="0" fillId="0" borderId="0" xfId="0" applyNumberFormat="1"/>
    <xf numFmtId="0" fontId="3" fillId="3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1">
    <cellStyle name="Normal" xfId="0" builtinId="0"/>
  </cellStyles>
  <dxfs count="7">
    <dxf>
      <numFmt numFmtId="2" formatCode="0.00"/>
    </dxf>
    <dxf>
      <numFmt numFmtId="2" formatCode="0.00"/>
    </dxf>
    <dxf>
      <numFmt numFmtId="21" formatCode="d\-mmm"/>
    </dxf>
    <dxf>
      <numFmt numFmtId="21" formatCode="d\-mmm"/>
    </dxf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6E8448-0AEA-A741-B021-07DE065ED05B}" name="Table1" displayName="Table1" ref="A1:E73" totalsRowCount="1" headerRowDxfId="6" headerRowBorderDxfId="5" tableBorderDxfId="4">
  <autoFilter ref="A1:E72" xr:uid="{5A6E8448-0AEA-A741-B021-07DE065ED05B}"/>
  <tableColumns count="5">
    <tableColumn id="1" xr3:uid="{2B779614-9743-4C4C-9E11-E2A90E495868}" name="txn_date" dataDxfId="3" totalsRowDxfId="2"/>
    <tableColumn id="2" xr3:uid="{315CAEAD-5BC1-0941-BB30-497E7C126157}" name="description"/>
    <tableColumn id="3" xr3:uid="{77988E8F-81FB-5D48-9BB3-67A0B9C9080B}" name="amount" totalsRowFunction="custom" dataDxfId="1" totalsRowDxfId="0">
      <totalsRowFormula>SUM(Table1[amount])</totalsRowFormula>
    </tableColumn>
    <tableColumn id="4" xr3:uid="{98DE154E-AEF9-CE4B-AE24-CA730C735A85}" name="category"/>
    <tableColumn id="5" xr3:uid="{89D378BB-A9C0-A14C-AE27-D8756FBF7A0B}" name="not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opLeftCell="A53" zoomScale="150" workbookViewId="0">
      <selection activeCell="D73" sqref="D73"/>
    </sheetView>
  </sheetViews>
  <sheetFormatPr baseColWidth="10" defaultColWidth="8.83203125" defaultRowHeight="15" x14ac:dyDescent="0.2"/>
  <cols>
    <col min="1" max="1" width="10.6640625" bestFit="1" customWidth="1"/>
    <col min="2" max="2" width="53.33203125" bestFit="1" customWidth="1"/>
    <col min="4" max="4" width="25.1640625" bestFit="1" customWidth="1"/>
  </cols>
  <sheetData>
    <row r="1" spans="1:5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x14ac:dyDescent="0.2">
      <c r="A2" t="s">
        <v>5</v>
      </c>
      <c r="B2" t="s">
        <v>6</v>
      </c>
      <c r="C2" s="13">
        <v>-0.95</v>
      </c>
      <c r="D2" t="s">
        <v>70</v>
      </c>
    </row>
    <row r="3" spans="1:5" x14ac:dyDescent="0.2">
      <c r="A3" t="s">
        <v>5</v>
      </c>
      <c r="B3" t="s">
        <v>6</v>
      </c>
      <c r="C3" s="13">
        <v>-3.13</v>
      </c>
      <c r="D3" t="s">
        <v>70</v>
      </c>
    </row>
    <row r="4" spans="1:5" x14ac:dyDescent="0.2">
      <c r="A4" t="s">
        <v>7</v>
      </c>
      <c r="B4" t="s">
        <v>8</v>
      </c>
      <c r="C4" s="13">
        <v>-30.04</v>
      </c>
      <c r="D4" t="s">
        <v>71</v>
      </c>
    </row>
    <row r="5" spans="1:5" x14ac:dyDescent="0.2">
      <c r="A5" t="s">
        <v>7</v>
      </c>
      <c r="B5" t="s">
        <v>9</v>
      </c>
      <c r="C5" s="13">
        <v>-0.95</v>
      </c>
      <c r="D5" t="s">
        <v>74</v>
      </c>
    </row>
    <row r="6" spans="1:5" x14ac:dyDescent="0.2">
      <c r="A6" t="s">
        <v>7</v>
      </c>
      <c r="B6" t="s">
        <v>6</v>
      </c>
      <c r="C6" s="13">
        <v>-0.54</v>
      </c>
      <c r="D6" t="s">
        <v>70</v>
      </c>
    </row>
    <row r="7" spans="1:5" x14ac:dyDescent="0.2">
      <c r="A7" t="s">
        <v>10</v>
      </c>
      <c r="B7" t="s">
        <v>6</v>
      </c>
      <c r="C7" s="13">
        <v>-1.71</v>
      </c>
      <c r="D7" t="s">
        <v>70</v>
      </c>
    </row>
    <row r="8" spans="1:5" x14ac:dyDescent="0.2">
      <c r="A8" t="s">
        <v>11</v>
      </c>
      <c r="B8" t="s">
        <v>12</v>
      </c>
      <c r="C8" s="13">
        <v>-50</v>
      </c>
      <c r="D8" t="s">
        <v>80</v>
      </c>
    </row>
    <row r="9" spans="1:5" x14ac:dyDescent="0.2">
      <c r="A9" t="s">
        <v>11</v>
      </c>
      <c r="B9" t="s">
        <v>13</v>
      </c>
      <c r="C9" s="13">
        <v>300</v>
      </c>
      <c r="D9" t="s">
        <v>83</v>
      </c>
    </row>
    <row r="10" spans="1:5" x14ac:dyDescent="0.2">
      <c r="A10" t="s">
        <v>11</v>
      </c>
      <c r="B10" t="s">
        <v>14</v>
      </c>
      <c r="C10" s="13">
        <v>-18.399999999999999</v>
      </c>
      <c r="D10" t="s">
        <v>77</v>
      </c>
    </row>
    <row r="11" spans="1:5" x14ac:dyDescent="0.2">
      <c r="A11" t="s">
        <v>15</v>
      </c>
      <c r="B11" t="s">
        <v>16</v>
      </c>
      <c r="C11" s="13">
        <v>-3.06</v>
      </c>
      <c r="D11" t="s">
        <v>77</v>
      </c>
    </row>
    <row r="12" spans="1:5" x14ac:dyDescent="0.2">
      <c r="A12" t="s">
        <v>17</v>
      </c>
      <c r="B12" t="s">
        <v>6</v>
      </c>
      <c r="C12" s="13">
        <v>-0.95</v>
      </c>
      <c r="D12" t="s">
        <v>70</v>
      </c>
    </row>
    <row r="13" spans="1:5" x14ac:dyDescent="0.2">
      <c r="A13" t="s">
        <v>17</v>
      </c>
      <c r="B13" t="s">
        <v>18</v>
      </c>
      <c r="C13" s="13">
        <v>-21.6</v>
      </c>
      <c r="D13" t="s">
        <v>71</v>
      </c>
    </row>
    <row r="14" spans="1:5" x14ac:dyDescent="0.2">
      <c r="A14" t="s">
        <v>19</v>
      </c>
      <c r="B14" t="s">
        <v>6</v>
      </c>
      <c r="C14" s="13">
        <v>-1.56</v>
      </c>
      <c r="D14" t="s">
        <v>70</v>
      </c>
    </row>
    <row r="15" spans="1:5" x14ac:dyDescent="0.2">
      <c r="A15" t="s">
        <v>19</v>
      </c>
      <c r="B15" t="s">
        <v>20</v>
      </c>
      <c r="C15" s="13">
        <v>-2.2999999999999998</v>
      </c>
      <c r="D15" t="s">
        <v>72</v>
      </c>
    </row>
    <row r="16" spans="1:5" x14ac:dyDescent="0.2">
      <c r="A16" t="s">
        <v>21</v>
      </c>
      <c r="B16" t="s">
        <v>6</v>
      </c>
      <c r="C16" s="13">
        <v>-1.68</v>
      </c>
      <c r="D16" t="s">
        <v>70</v>
      </c>
    </row>
    <row r="17" spans="1:4" x14ac:dyDescent="0.2">
      <c r="A17" t="s">
        <v>22</v>
      </c>
      <c r="B17" t="s">
        <v>9</v>
      </c>
      <c r="C17" s="13">
        <v>-20.94</v>
      </c>
      <c r="D17" t="s">
        <v>74</v>
      </c>
    </row>
    <row r="18" spans="1:4" x14ac:dyDescent="0.2">
      <c r="A18" t="s">
        <v>22</v>
      </c>
      <c r="B18" t="s">
        <v>23</v>
      </c>
      <c r="C18" s="13">
        <v>250</v>
      </c>
      <c r="D18" t="s">
        <v>83</v>
      </c>
    </row>
    <row r="19" spans="1:4" x14ac:dyDescent="0.2">
      <c r="A19" t="s">
        <v>22</v>
      </c>
      <c r="B19" t="s">
        <v>24</v>
      </c>
      <c r="C19" s="13">
        <v>-8.58</v>
      </c>
      <c r="D19" t="s">
        <v>70</v>
      </c>
    </row>
    <row r="20" spans="1:4" x14ac:dyDescent="0.2">
      <c r="A20" t="s">
        <v>25</v>
      </c>
      <c r="B20" t="s">
        <v>26</v>
      </c>
      <c r="C20" s="13">
        <v>-6.49</v>
      </c>
      <c r="D20" t="s">
        <v>77</v>
      </c>
    </row>
    <row r="21" spans="1:4" x14ac:dyDescent="0.2">
      <c r="A21" t="s">
        <v>25</v>
      </c>
      <c r="B21" t="s">
        <v>27</v>
      </c>
      <c r="C21" s="13">
        <v>-3.36</v>
      </c>
      <c r="D21" t="s">
        <v>73</v>
      </c>
    </row>
    <row r="22" spans="1:4" x14ac:dyDescent="0.2">
      <c r="A22" t="s">
        <v>25</v>
      </c>
      <c r="B22" t="s">
        <v>6</v>
      </c>
      <c r="C22" s="13">
        <v>-1.45</v>
      </c>
      <c r="D22" t="s">
        <v>70</v>
      </c>
    </row>
    <row r="23" spans="1:4" x14ac:dyDescent="0.2">
      <c r="A23" t="s">
        <v>28</v>
      </c>
      <c r="B23" t="s">
        <v>13</v>
      </c>
      <c r="C23" s="13">
        <v>500</v>
      </c>
      <c r="D23" t="s">
        <v>83</v>
      </c>
    </row>
    <row r="24" spans="1:4" x14ac:dyDescent="0.2">
      <c r="A24" t="s">
        <v>29</v>
      </c>
      <c r="B24" t="s">
        <v>6</v>
      </c>
      <c r="C24" s="13">
        <v>-1.98</v>
      </c>
      <c r="D24" t="s">
        <v>70</v>
      </c>
    </row>
    <row r="25" spans="1:4" x14ac:dyDescent="0.2">
      <c r="A25" t="s">
        <v>29</v>
      </c>
      <c r="B25" t="s">
        <v>8</v>
      </c>
      <c r="C25" s="13">
        <v>-30.05</v>
      </c>
      <c r="D25" t="s">
        <v>71</v>
      </c>
    </row>
    <row r="26" spans="1:4" x14ac:dyDescent="0.2">
      <c r="A26" t="s">
        <v>29</v>
      </c>
      <c r="B26" t="s">
        <v>6</v>
      </c>
      <c r="C26" s="13">
        <v>-2.04</v>
      </c>
      <c r="D26" t="s">
        <v>70</v>
      </c>
    </row>
    <row r="27" spans="1:4" x14ac:dyDescent="0.2">
      <c r="A27" t="s">
        <v>30</v>
      </c>
      <c r="B27" t="s">
        <v>31</v>
      </c>
      <c r="C27" s="13">
        <v>-31.6</v>
      </c>
      <c r="D27" t="s">
        <v>74</v>
      </c>
    </row>
    <row r="28" spans="1:4" x14ac:dyDescent="0.2">
      <c r="A28" t="s">
        <v>30</v>
      </c>
      <c r="B28" t="s">
        <v>6</v>
      </c>
      <c r="C28" s="13">
        <v>-2.14</v>
      </c>
      <c r="D28" t="s">
        <v>70</v>
      </c>
    </row>
    <row r="29" spans="1:4" x14ac:dyDescent="0.2">
      <c r="A29" t="s">
        <v>30</v>
      </c>
      <c r="B29" t="s">
        <v>6</v>
      </c>
      <c r="C29" s="13">
        <v>-2.23</v>
      </c>
      <c r="D29" t="s">
        <v>70</v>
      </c>
    </row>
    <row r="30" spans="1:4" x14ac:dyDescent="0.2">
      <c r="A30" t="s">
        <v>32</v>
      </c>
      <c r="B30" t="s">
        <v>33</v>
      </c>
      <c r="C30" s="13">
        <v>-0.6</v>
      </c>
      <c r="D30" t="s">
        <v>71</v>
      </c>
    </row>
    <row r="31" spans="1:4" x14ac:dyDescent="0.2">
      <c r="A31" t="s">
        <v>32</v>
      </c>
      <c r="B31" t="s">
        <v>34</v>
      </c>
      <c r="C31" s="13">
        <v>-5.64</v>
      </c>
      <c r="D31" t="s">
        <v>81</v>
      </c>
    </row>
    <row r="32" spans="1:4" x14ac:dyDescent="0.2">
      <c r="A32" t="s">
        <v>32</v>
      </c>
      <c r="B32" t="s">
        <v>35</v>
      </c>
      <c r="C32" s="13">
        <v>460</v>
      </c>
      <c r="D32" t="s">
        <v>83</v>
      </c>
    </row>
    <row r="33" spans="1:4" x14ac:dyDescent="0.2">
      <c r="A33" t="s">
        <v>32</v>
      </c>
      <c r="B33" t="s">
        <v>6</v>
      </c>
      <c r="C33" s="13">
        <v>-0.75</v>
      </c>
      <c r="D33" t="s">
        <v>70</v>
      </c>
    </row>
    <row r="34" spans="1:4" x14ac:dyDescent="0.2">
      <c r="A34" t="s">
        <v>32</v>
      </c>
      <c r="B34" t="s">
        <v>36</v>
      </c>
      <c r="C34" s="13">
        <v>-0.8</v>
      </c>
      <c r="D34" t="s">
        <v>71</v>
      </c>
    </row>
    <row r="35" spans="1:4" x14ac:dyDescent="0.2">
      <c r="A35" t="s">
        <v>32</v>
      </c>
      <c r="B35" t="s">
        <v>37</v>
      </c>
      <c r="C35" s="13">
        <v>-16.600000000000001</v>
      </c>
      <c r="D35" t="s">
        <v>73</v>
      </c>
    </row>
    <row r="36" spans="1:4" x14ac:dyDescent="0.2">
      <c r="A36" t="s">
        <v>32</v>
      </c>
      <c r="B36" t="s">
        <v>9</v>
      </c>
      <c r="C36" s="13">
        <v>-8.4600000000000009</v>
      </c>
      <c r="D36" t="s">
        <v>74</v>
      </c>
    </row>
    <row r="37" spans="1:4" x14ac:dyDescent="0.2">
      <c r="A37" t="s">
        <v>38</v>
      </c>
      <c r="B37" t="s">
        <v>6</v>
      </c>
      <c r="C37" s="13">
        <v>-1.29</v>
      </c>
      <c r="D37" t="s">
        <v>70</v>
      </c>
    </row>
    <row r="38" spans="1:4" x14ac:dyDescent="0.2">
      <c r="A38" t="s">
        <v>38</v>
      </c>
      <c r="B38" t="s">
        <v>6</v>
      </c>
      <c r="C38" s="13">
        <v>-2.38</v>
      </c>
      <c r="D38" t="s">
        <v>70</v>
      </c>
    </row>
    <row r="39" spans="1:4" x14ac:dyDescent="0.2">
      <c r="A39" t="s">
        <v>39</v>
      </c>
      <c r="B39" t="s">
        <v>40</v>
      </c>
      <c r="C39" s="13">
        <v>-50.05</v>
      </c>
      <c r="D39" t="s">
        <v>71</v>
      </c>
    </row>
    <row r="40" spans="1:4" x14ac:dyDescent="0.2">
      <c r="A40" t="s">
        <v>39</v>
      </c>
      <c r="B40" t="s">
        <v>27</v>
      </c>
      <c r="C40" s="13">
        <v>-4.2</v>
      </c>
      <c r="D40" t="s">
        <v>73</v>
      </c>
    </row>
    <row r="41" spans="1:4" x14ac:dyDescent="0.2">
      <c r="A41" t="s">
        <v>41</v>
      </c>
      <c r="B41" t="s">
        <v>42</v>
      </c>
      <c r="C41" s="13">
        <v>-10</v>
      </c>
      <c r="D41" t="s">
        <v>81</v>
      </c>
    </row>
    <row r="42" spans="1:4" x14ac:dyDescent="0.2">
      <c r="A42" t="s">
        <v>41</v>
      </c>
      <c r="B42" t="s">
        <v>43</v>
      </c>
      <c r="C42" s="13">
        <v>364</v>
      </c>
      <c r="D42" t="s">
        <v>83</v>
      </c>
    </row>
    <row r="43" spans="1:4" x14ac:dyDescent="0.2">
      <c r="A43" t="s">
        <v>44</v>
      </c>
      <c r="B43" t="s">
        <v>27</v>
      </c>
      <c r="C43" s="13">
        <v>-1.9</v>
      </c>
      <c r="D43" t="s">
        <v>73</v>
      </c>
    </row>
    <row r="44" spans="1:4" x14ac:dyDescent="0.2">
      <c r="A44" t="s">
        <v>44</v>
      </c>
      <c r="B44" t="s">
        <v>45</v>
      </c>
      <c r="C44" s="13">
        <v>-1</v>
      </c>
      <c r="D44" t="s">
        <v>73</v>
      </c>
    </row>
    <row r="45" spans="1:4" x14ac:dyDescent="0.2">
      <c r="A45" t="s">
        <v>44</v>
      </c>
      <c r="B45" t="s">
        <v>6</v>
      </c>
      <c r="C45" s="13">
        <v>-1.76</v>
      </c>
      <c r="D45" t="s">
        <v>70</v>
      </c>
    </row>
    <row r="46" spans="1:4" x14ac:dyDescent="0.2">
      <c r="A46" t="s">
        <v>46</v>
      </c>
      <c r="B46" t="s">
        <v>24</v>
      </c>
      <c r="C46" s="13">
        <v>-4.18</v>
      </c>
      <c r="D46" t="s">
        <v>70</v>
      </c>
    </row>
    <row r="47" spans="1:4" x14ac:dyDescent="0.2">
      <c r="A47" t="s">
        <v>47</v>
      </c>
      <c r="B47" t="s">
        <v>6</v>
      </c>
      <c r="C47" s="13">
        <v>-1.72</v>
      </c>
      <c r="D47" t="s">
        <v>70</v>
      </c>
    </row>
    <row r="48" spans="1:4" x14ac:dyDescent="0.2">
      <c r="A48" t="s">
        <v>47</v>
      </c>
      <c r="B48" t="s">
        <v>13</v>
      </c>
      <c r="C48" s="13">
        <v>100</v>
      </c>
      <c r="D48" t="s">
        <v>83</v>
      </c>
    </row>
    <row r="49" spans="1:4" x14ac:dyDescent="0.2">
      <c r="A49" t="s">
        <v>47</v>
      </c>
      <c r="B49" t="s">
        <v>18</v>
      </c>
      <c r="C49" s="13">
        <v>-30.27</v>
      </c>
      <c r="D49" t="s">
        <v>71</v>
      </c>
    </row>
    <row r="50" spans="1:4" x14ac:dyDescent="0.2">
      <c r="A50" t="s">
        <v>47</v>
      </c>
      <c r="B50" t="s">
        <v>24</v>
      </c>
      <c r="C50" s="13">
        <v>-2.0099999999999998</v>
      </c>
      <c r="D50" t="s">
        <v>70</v>
      </c>
    </row>
    <row r="51" spans="1:4" x14ac:dyDescent="0.2">
      <c r="A51" t="s">
        <v>48</v>
      </c>
      <c r="B51" t="s">
        <v>36</v>
      </c>
      <c r="C51" s="13">
        <v>-2.4</v>
      </c>
      <c r="D51" t="s">
        <v>71</v>
      </c>
    </row>
    <row r="52" spans="1:4" x14ac:dyDescent="0.2">
      <c r="A52" t="s">
        <v>48</v>
      </c>
      <c r="B52" t="s">
        <v>6</v>
      </c>
      <c r="C52" s="13">
        <v>-1.19</v>
      </c>
      <c r="D52" t="s">
        <v>70</v>
      </c>
    </row>
    <row r="53" spans="1:4" x14ac:dyDescent="0.2">
      <c r="A53" t="s">
        <v>48</v>
      </c>
      <c r="B53" t="s">
        <v>49</v>
      </c>
      <c r="C53" s="13">
        <v>-2.9</v>
      </c>
      <c r="D53" t="s">
        <v>81</v>
      </c>
    </row>
    <row r="54" spans="1:4" x14ac:dyDescent="0.2">
      <c r="A54" t="s">
        <v>48</v>
      </c>
      <c r="B54" t="s">
        <v>50</v>
      </c>
      <c r="C54" s="13">
        <v>-2.25</v>
      </c>
      <c r="D54" t="s">
        <v>81</v>
      </c>
    </row>
    <row r="55" spans="1:4" x14ac:dyDescent="0.2">
      <c r="A55" t="s">
        <v>51</v>
      </c>
      <c r="B55" t="s">
        <v>20</v>
      </c>
      <c r="C55" s="13">
        <v>-6.7</v>
      </c>
      <c r="D55" t="s">
        <v>72</v>
      </c>
    </row>
    <row r="56" spans="1:4" x14ac:dyDescent="0.2">
      <c r="A56" t="s">
        <v>51</v>
      </c>
      <c r="B56" t="s">
        <v>6</v>
      </c>
      <c r="C56" s="13">
        <v>-0.85</v>
      </c>
      <c r="D56" t="s">
        <v>70</v>
      </c>
    </row>
    <row r="57" spans="1:4" x14ac:dyDescent="0.2">
      <c r="A57" t="s">
        <v>51</v>
      </c>
      <c r="B57" t="s">
        <v>45</v>
      </c>
      <c r="C57" s="13">
        <v>-1</v>
      </c>
      <c r="D57" t="s">
        <v>73</v>
      </c>
    </row>
    <row r="58" spans="1:4" x14ac:dyDescent="0.2">
      <c r="A58" t="s">
        <v>52</v>
      </c>
      <c r="B58" t="s">
        <v>6</v>
      </c>
      <c r="C58" s="13">
        <v>-2.06</v>
      </c>
      <c r="D58" t="s">
        <v>70</v>
      </c>
    </row>
    <row r="59" spans="1:4" x14ac:dyDescent="0.2">
      <c r="A59" t="s">
        <v>52</v>
      </c>
      <c r="B59" t="s">
        <v>27</v>
      </c>
      <c r="C59" s="13">
        <v>-1.52</v>
      </c>
      <c r="D59" t="s">
        <v>73</v>
      </c>
    </row>
    <row r="60" spans="1:4" x14ac:dyDescent="0.2">
      <c r="A60" t="s">
        <v>52</v>
      </c>
      <c r="B60" t="s">
        <v>33</v>
      </c>
      <c r="C60" s="13">
        <v>-3</v>
      </c>
      <c r="D60" t="s">
        <v>71</v>
      </c>
    </row>
    <row r="61" spans="1:4" x14ac:dyDescent="0.2">
      <c r="A61" t="s">
        <v>53</v>
      </c>
      <c r="B61" t="s">
        <v>42</v>
      </c>
      <c r="C61" s="13">
        <v>-15</v>
      </c>
      <c r="D61" t="s">
        <v>81</v>
      </c>
    </row>
    <row r="62" spans="1:4" x14ac:dyDescent="0.2">
      <c r="A62" t="s">
        <v>54</v>
      </c>
      <c r="B62" t="s">
        <v>24</v>
      </c>
      <c r="C62" s="13">
        <v>-2.0099999999999998</v>
      </c>
      <c r="D62" t="s">
        <v>70</v>
      </c>
    </row>
    <row r="63" spans="1:4" x14ac:dyDescent="0.2">
      <c r="A63" t="s">
        <v>54</v>
      </c>
      <c r="B63" t="s">
        <v>55</v>
      </c>
      <c r="C63" s="13">
        <v>-13.66</v>
      </c>
      <c r="D63" t="s">
        <v>70</v>
      </c>
    </row>
    <row r="64" spans="1:4" x14ac:dyDescent="0.2">
      <c r="A64" s="1">
        <v>45877</v>
      </c>
      <c r="B64" t="s">
        <v>56</v>
      </c>
      <c r="C64" s="13">
        <v>-5</v>
      </c>
      <c r="D64" t="s">
        <v>81</v>
      </c>
    </row>
    <row r="65" spans="1:4" x14ac:dyDescent="0.2">
      <c r="A65" s="1">
        <v>45877</v>
      </c>
      <c r="B65" t="s">
        <v>57</v>
      </c>
      <c r="C65" s="13">
        <v>-3</v>
      </c>
      <c r="D65" t="s">
        <v>72</v>
      </c>
    </row>
    <row r="66" spans="1:4" x14ac:dyDescent="0.2">
      <c r="A66" s="1">
        <v>45884</v>
      </c>
      <c r="B66" t="s">
        <v>58</v>
      </c>
      <c r="C66" s="13">
        <v>-10</v>
      </c>
      <c r="D66" t="s">
        <v>81</v>
      </c>
    </row>
    <row r="67" spans="1:4" x14ac:dyDescent="0.2">
      <c r="A67" s="1">
        <v>45887</v>
      </c>
      <c r="B67" t="s">
        <v>59</v>
      </c>
      <c r="C67" s="13">
        <v>-2.7</v>
      </c>
      <c r="D67" t="s">
        <v>72</v>
      </c>
    </row>
    <row r="68" spans="1:4" x14ac:dyDescent="0.2">
      <c r="A68" s="1">
        <v>45889</v>
      </c>
      <c r="B68" t="s">
        <v>60</v>
      </c>
      <c r="C68" s="13">
        <v>30</v>
      </c>
      <c r="D68" t="s">
        <v>71</v>
      </c>
    </row>
    <row r="69" spans="1:4" x14ac:dyDescent="0.2">
      <c r="A69" s="1">
        <v>45893</v>
      </c>
      <c r="B69" t="s">
        <v>59</v>
      </c>
      <c r="C69" s="13">
        <v>-3</v>
      </c>
      <c r="D69" t="s">
        <v>72</v>
      </c>
    </row>
    <row r="70" spans="1:4" x14ac:dyDescent="0.2">
      <c r="A70" s="1">
        <v>45895</v>
      </c>
      <c r="B70" t="s">
        <v>61</v>
      </c>
      <c r="C70" s="13">
        <v>-15</v>
      </c>
      <c r="D70" t="s">
        <v>77</v>
      </c>
    </row>
    <row r="71" spans="1:4" x14ac:dyDescent="0.2">
      <c r="A71" s="1">
        <v>45896</v>
      </c>
      <c r="B71" t="s">
        <v>59</v>
      </c>
      <c r="C71" s="13">
        <v>-3</v>
      </c>
      <c r="D71" t="s">
        <v>72</v>
      </c>
    </row>
    <row r="72" spans="1:4" x14ac:dyDescent="0.2">
      <c r="A72" s="1">
        <v>45898</v>
      </c>
      <c r="B72" t="s">
        <v>84</v>
      </c>
      <c r="C72" s="13">
        <v>-6</v>
      </c>
      <c r="D72" t="s">
        <v>72</v>
      </c>
    </row>
    <row r="73" spans="1:4" x14ac:dyDescent="0.2">
      <c r="A73" s="1"/>
      <c r="C73" s="13">
        <f>SUM(Table1[amount])</f>
        <v>1510.4199999999996</v>
      </c>
    </row>
    <row r="77" spans="1:4" x14ac:dyDescent="0.2">
      <c r="C77" s="14"/>
    </row>
    <row r="78" spans="1:4" x14ac:dyDescent="0.2">
      <c r="C78" s="13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B5853-20CF-204B-810D-E2CC09B50812}">
  <dimension ref="A1:C28"/>
  <sheetViews>
    <sheetView tabSelected="1" topLeftCell="A12" zoomScale="173" workbookViewId="0">
      <selection activeCell="A15" sqref="A15"/>
    </sheetView>
  </sheetViews>
  <sheetFormatPr baseColWidth="10" defaultRowHeight="15" x14ac:dyDescent="0.2"/>
  <cols>
    <col min="1" max="1" width="26" bestFit="1" customWidth="1"/>
    <col min="2" max="2" width="27.6640625" bestFit="1" customWidth="1"/>
  </cols>
  <sheetData>
    <row r="1" spans="1:3" ht="16" x14ac:dyDescent="0.2">
      <c r="A1" s="2" t="s">
        <v>62</v>
      </c>
      <c r="B1" s="3">
        <v>70</v>
      </c>
    </row>
    <row r="2" spans="1:3" ht="16" x14ac:dyDescent="0.2">
      <c r="A2" s="4" t="s">
        <v>63</v>
      </c>
      <c r="B2" s="5">
        <v>379</v>
      </c>
    </row>
    <row r="3" spans="1:3" ht="16" x14ac:dyDescent="0.2">
      <c r="A3" s="4" t="s">
        <v>64</v>
      </c>
      <c r="B3" s="5">
        <v>37</v>
      </c>
    </row>
    <row r="4" spans="1:3" ht="16" x14ac:dyDescent="0.2">
      <c r="A4" s="4" t="s">
        <v>65</v>
      </c>
      <c r="B4" s="15">
        <v>2000</v>
      </c>
    </row>
    <row r="5" spans="1:3" ht="16" x14ac:dyDescent="0.2">
      <c r="A5" s="4"/>
      <c r="B5" s="7"/>
    </row>
    <row r="6" spans="1:3" ht="16" x14ac:dyDescent="0.2">
      <c r="A6" s="4" t="s">
        <v>66</v>
      </c>
      <c r="B6" s="5">
        <v>345</v>
      </c>
    </row>
    <row r="7" spans="1:3" ht="16" x14ac:dyDescent="0.2">
      <c r="A7" s="4" t="s">
        <v>67</v>
      </c>
      <c r="B7" s="8">
        <v>1056</v>
      </c>
      <c r="C7" s="16"/>
    </row>
    <row r="8" spans="1:3" ht="16" x14ac:dyDescent="0.2">
      <c r="A8" s="4" t="s">
        <v>68</v>
      </c>
      <c r="B8" s="5">
        <v>400</v>
      </c>
    </row>
    <row r="9" spans="1:3" ht="16" x14ac:dyDescent="0.2">
      <c r="A9" s="4" t="s">
        <v>85</v>
      </c>
      <c r="B9" s="5">
        <v>1500</v>
      </c>
    </row>
    <row r="10" spans="1:3" ht="16" x14ac:dyDescent="0.2">
      <c r="A10" s="6"/>
      <c r="B10" s="6"/>
    </row>
    <row r="11" spans="1:3" ht="16" x14ac:dyDescent="0.2">
      <c r="A11" s="6"/>
      <c r="B11" s="6"/>
    </row>
    <row r="12" spans="1:3" ht="20" x14ac:dyDescent="0.25">
      <c r="A12" s="17" t="s">
        <v>69</v>
      </c>
      <c r="B12" s="17"/>
    </row>
    <row r="13" spans="1:3" ht="16" x14ac:dyDescent="0.2">
      <c r="A13" s="4" t="s">
        <v>70</v>
      </c>
      <c r="B13" s="7">
        <f>SUMIF(Table1[category],Stats!A13,Table1[amount])</f>
        <v>-62.8</v>
      </c>
    </row>
    <row r="14" spans="1:3" ht="16" x14ac:dyDescent="0.2">
      <c r="A14" s="4" t="s">
        <v>71</v>
      </c>
      <c r="B14" s="7">
        <f>SUMIF(Table1[category],Stats!A14,Table1[amount])</f>
        <v>-138.81</v>
      </c>
    </row>
    <row r="15" spans="1:3" ht="16" x14ac:dyDescent="0.2">
      <c r="A15" s="4" t="s">
        <v>72</v>
      </c>
      <c r="B15" s="7">
        <f>SUMIF(Table1[category],Stats!A15,Table1[amount])</f>
        <v>-26.7</v>
      </c>
    </row>
    <row r="16" spans="1:3" ht="16" x14ac:dyDescent="0.2">
      <c r="A16" s="4" t="s">
        <v>73</v>
      </c>
      <c r="B16" s="7">
        <f>SUMIF(Table1[category],Stats!A16,Table1[amount])</f>
        <v>-29.58</v>
      </c>
    </row>
    <row r="17" spans="1:2" ht="16" x14ac:dyDescent="0.2">
      <c r="A17" s="4" t="s">
        <v>74</v>
      </c>
      <c r="B17" s="7">
        <f>SUMIF(Table1[category],Stats!A17,Table1[amount])</f>
        <v>-61.95</v>
      </c>
    </row>
    <row r="18" spans="1:2" ht="16" x14ac:dyDescent="0.2">
      <c r="A18" s="4" t="s">
        <v>75</v>
      </c>
      <c r="B18" s="7">
        <f>SUMIF(Table1[category],Stats!A18,Table1[amount])</f>
        <v>0</v>
      </c>
    </row>
    <row r="19" spans="1:2" ht="16" x14ac:dyDescent="0.2">
      <c r="A19" s="4" t="s">
        <v>76</v>
      </c>
      <c r="B19" s="7">
        <f>SUMIF(Table1[category],Stats!A19,Table1[amount])</f>
        <v>0</v>
      </c>
    </row>
    <row r="20" spans="1:2" ht="16" x14ac:dyDescent="0.2">
      <c r="A20" s="4" t="s">
        <v>77</v>
      </c>
      <c r="B20" s="7">
        <f>SUMIF(Table1[category],Stats!A20,Table1[amount])</f>
        <v>-42.949999999999996</v>
      </c>
    </row>
    <row r="21" spans="1:2" ht="16" x14ac:dyDescent="0.2">
      <c r="A21" s="4" t="s">
        <v>78</v>
      </c>
      <c r="B21" s="7">
        <f>SUMIF(Table1[category],Stats!A21,Table1[amount])</f>
        <v>0</v>
      </c>
    </row>
    <row r="22" spans="1:2" ht="16" x14ac:dyDescent="0.2">
      <c r="A22" s="4" t="s">
        <v>79</v>
      </c>
      <c r="B22" s="7">
        <f>SUMIF(Table1[category],Stats!A22,Table1[amount])</f>
        <v>0</v>
      </c>
    </row>
    <row r="23" spans="1:2" ht="16" x14ac:dyDescent="0.2">
      <c r="A23" s="4" t="s">
        <v>80</v>
      </c>
      <c r="B23" s="7">
        <f>SUMIF(Table1[category],Stats!A23,Table1[amount])</f>
        <v>-50</v>
      </c>
    </row>
    <row r="24" spans="1:2" ht="16" x14ac:dyDescent="0.2">
      <c r="A24" s="4" t="s">
        <v>81</v>
      </c>
      <c r="B24" s="7">
        <f>SUMIF(Table1[category],Stats!A24,Table1[amount])</f>
        <v>-50.79</v>
      </c>
    </row>
    <row r="25" spans="1:2" ht="16" x14ac:dyDescent="0.2">
      <c r="A25" s="9" t="s">
        <v>82</v>
      </c>
      <c r="B25" s="7">
        <f>SUM(B13:B24)</f>
        <v>-463.58</v>
      </c>
    </row>
    <row r="26" spans="1:2" ht="16" x14ac:dyDescent="0.2">
      <c r="A26" s="18"/>
      <c r="B26" s="19"/>
    </row>
    <row r="27" spans="1:2" ht="16" x14ac:dyDescent="0.2">
      <c r="A27" s="4" t="s">
        <v>83</v>
      </c>
      <c r="B27" s="7">
        <v>1521</v>
      </c>
    </row>
    <row r="28" spans="1:2" x14ac:dyDescent="0.2">
      <c r="A28" s="10"/>
      <c r="B28" s="11">
        <f>SUM(B25,B27)</f>
        <v>1057.42</v>
      </c>
    </row>
  </sheetData>
  <mergeCells count="2">
    <mergeCell ref="A12:B12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Dmytro Semeniuk</cp:lastModifiedBy>
  <dcterms:created xsi:type="dcterms:W3CDTF">2025-09-01T08:40:58Z</dcterms:created>
  <dcterms:modified xsi:type="dcterms:W3CDTF">2025-10-02T09:36:15Z</dcterms:modified>
</cp:coreProperties>
</file>