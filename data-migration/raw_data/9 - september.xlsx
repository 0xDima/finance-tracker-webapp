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Documents/Personal/finance-tracker/excel/monthly/"/>
    </mc:Choice>
  </mc:AlternateContent>
  <xr:revisionPtr revIDLastSave="0" documentId="13_ncr:1_{16E08A27-691A-0B4F-ADC5-4E055BE609DC}" xr6:coauthVersionLast="47" xr6:coauthVersionMax="47" xr10:uidLastSave="{00000000-0000-0000-0000-000000000000}"/>
  <bookViews>
    <workbookView xWindow="-27040" yWindow="11860" windowWidth="27040" windowHeight="16940" activeTab="1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6" i="2" l="1"/>
  <c r="B24" i="2"/>
  <c r="B22" i="2"/>
  <c r="B21" i="2"/>
  <c r="B20" i="2"/>
  <c r="B19" i="2"/>
  <c r="B18" i="2"/>
  <c r="B17" i="2"/>
  <c r="B16" i="2"/>
  <c r="B15" i="2"/>
  <c r="B14" i="2"/>
  <c r="B13" i="2"/>
  <c r="B27" i="2" l="1"/>
  <c r="C73" i="1"/>
  <c r="C71" i="1"/>
  <c r="C69" i="1"/>
  <c r="C67" i="1"/>
  <c r="C60" i="1"/>
  <c r="C58" i="1"/>
  <c r="C55" i="1"/>
  <c r="C30" i="1"/>
</calcChain>
</file>

<file path=xl/sharedStrings.xml><?xml version="1.0" encoding="utf-8"?>
<sst xmlns="http://schemas.openxmlformats.org/spreadsheetml/2006/main" count="298" uniqueCount="102">
  <si>
    <t>txn_date</t>
  </si>
  <si>
    <t>description</t>
  </si>
  <si>
    <t>amount</t>
  </si>
  <si>
    <t>category</t>
  </si>
  <si>
    <t>note</t>
  </si>
  <si>
    <t>U17357273 Dmytro Semeniuk</t>
  </si>
  <si>
    <t>Rijeka Trans</t>
  </si>
  <si>
    <t>KEKS Pay</t>
  </si>
  <si>
    <t>Plodine</t>
  </si>
  <si>
    <t>Lidl</t>
  </si>
  <si>
    <t>01/09/2025</t>
  </si>
  <si>
    <t>Mlinar</t>
  </si>
  <si>
    <t>Naplata naknade za vođenje računa</t>
  </si>
  <si>
    <t>02/09/2025</t>
  </si>
  <si>
    <t>INA</t>
  </si>
  <si>
    <t>SPAR Food &amp; Fuel</t>
  </si>
  <si>
    <t>03/09/2025</t>
  </si>
  <si>
    <t>AliExpress</t>
  </si>
  <si>
    <t>04/09/2025</t>
  </si>
  <si>
    <t>Chatgpt</t>
  </si>
  <si>
    <t>05/09/2025</t>
  </si>
  <si>
    <t>GOOGLE *YouTubePremium</t>
  </si>
  <si>
    <t>UBER * EATS PENDING</t>
  </si>
  <si>
    <t>06/09/2025</t>
  </si>
  <si>
    <t>PRTMN *KYIVSTAR T</t>
  </si>
  <si>
    <t>07/09/2025</t>
  </si>
  <si>
    <t>Apple</t>
  </si>
  <si>
    <t>09/09/2025</t>
  </si>
  <si>
    <t>11/09/2025</t>
  </si>
  <si>
    <t>Gavranović</t>
  </si>
  <si>
    <t>12/09/2025</t>
  </si>
  <si>
    <t>Kaufland</t>
  </si>
  <si>
    <t>Transfer to ARTUR NASIROV</t>
  </si>
  <si>
    <t>15/09/2025</t>
  </si>
  <si>
    <t>Bmove</t>
  </si>
  <si>
    <t>Pu51000rijeka</t>
  </si>
  <si>
    <t>Dante Bar</t>
  </si>
  <si>
    <t>FlixBus</t>
  </si>
  <si>
    <t>16/09/2025</t>
  </si>
  <si>
    <t>Restoran Kampus</t>
  </si>
  <si>
    <t>17/09/2025</t>
  </si>
  <si>
    <t>Airbnb</t>
  </si>
  <si>
    <t>18/09/2025</t>
  </si>
  <si>
    <t>19/09/2025</t>
  </si>
  <si>
    <t>dm drogerie</t>
  </si>
  <si>
    <t>20/09/2025</t>
  </si>
  <si>
    <t>21/09/2025</t>
  </si>
  <si>
    <t>Arriva</t>
  </si>
  <si>
    <t>22/09/2025</t>
  </si>
  <si>
    <t>23/09/2025</t>
  </si>
  <si>
    <t>Budapesti Közlekedési Központ - BKK</t>
  </si>
  <si>
    <t>Körforgalom-Mix Abc Kft.</t>
  </si>
  <si>
    <t>Manna ABC</t>
  </si>
  <si>
    <t>24/09/2025</t>
  </si>
  <si>
    <t>Spar</t>
  </si>
  <si>
    <t>Starbucks</t>
  </si>
  <si>
    <t>25/09/2025</t>
  </si>
  <si>
    <t>Noiret Biliárd &amp; Darts Szalon</t>
  </si>
  <si>
    <t>Duna Főnix Kft.</t>
  </si>
  <si>
    <t>Fortissimo Media</t>
  </si>
  <si>
    <t>McDonald's</t>
  </si>
  <si>
    <t>26/09/2025</t>
  </si>
  <si>
    <t>Fitzkey Kurtoskalacs</t>
  </si>
  <si>
    <t>Tesco</t>
  </si>
  <si>
    <t>Anytime Bar &amp; Entertainment</t>
  </si>
  <si>
    <t>Davtom</t>
  </si>
  <si>
    <t>Wolt</t>
  </si>
  <si>
    <t>PayPal</t>
  </si>
  <si>
    <t>Pizza Hut</t>
  </si>
  <si>
    <t>27/09/2025</t>
  </si>
  <si>
    <t>M7 Group</t>
  </si>
  <si>
    <t>Klarna</t>
  </si>
  <si>
    <t>29/09/2025</t>
  </si>
  <si>
    <t>30/09/2025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</si>
  <si>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</si>
  <si>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</si>
  <si>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</si>
  <si>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</si>
  <si>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</si>
  <si>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</si>
  <si>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</si>
  <si>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Savings</t>
  </si>
  <si>
    <t>200 євро на бінанс</t>
  </si>
  <si>
    <t>Groceries</t>
  </si>
  <si>
    <t>Transportation</t>
  </si>
  <si>
    <t>Coffee</t>
  </si>
  <si>
    <t>Dining &amp; Restaurants</t>
  </si>
  <si>
    <t>Shopping</t>
  </si>
  <si>
    <t>Home</t>
  </si>
  <si>
    <t>Cash Withdrawals</t>
  </si>
  <si>
    <t>Entertainment &amp; Subscriptions</t>
  </si>
  <si>
    <t>Travelling</t>
  </si>
  <si>
    <t>Education &amp; Studying</t>
  </si>
  <si>
    <t>Investments</t>
  </si>
  <si>
    <t>Other</t>
  </si>
  <si>
    <t>Посилка словенцу</t>
  </si>
  <si>
    <t>Житло</t>
  </si>
  <si>
    <t>Bonnavia coffee</t>
  </si>
  <si>
    <t>Кебаб в загребі</t>
  </si>
  <si>
    <t>Haircut</t>
  </si>
  <si>
    <t>SPENT BY CATEGORIES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</si>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</sst>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5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4" xfId="0" applyNumberFormat="1" applyFont="1" applyFill="1" applyBorder="1"/>
    <xf numFmtId="165" fontId="2" fillId="2" borderId="4" xfId="0" applyNumberFormat="1" applyFont="1" applyFill="1" applyBorder="1"/>
    <xf numFmtId="0" fontId="2" fillId="2" borderId="4" xfId="0" applyFont="1" applyFill="1" applyBorder="1"/>
    <xf numFmtId="44" fontId="2" fillId="2" borderId="4" xfId="0" applyNumberFormat="1" applyFont="1" applyFill="1" applyBorder="1"/>
    <xf numFmtId="2" fontId="0" fillId="0" borderId="0" xfId="0" applyNumberFormat="1"/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3" xfId="0" applyFont="1" applyBorder="1" applyAlignment="1">
      <alignment horizontal="center" vertical="top"/>
    </xf>
    <xf numFmtId="2" fontId="2" fillId="2" borderId="4" xfId="0" applyNumberFormat="1" applyFont="1" applyFill="1" applyBorder="1"/>
    <xf numFmtId="2" fontId="3" fillId="4" borderId="0" xfId="0" applyNumberFormat="1" applyFont="1" applyFill="1"/>
    <xf numFmtId="0" fontId="4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1" formatCode="d\-mmm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AA7D5-D7E9-A64E-AC69-8BDB0E40A330}" name="Table1" displayName="Table1" ref="A1:E93" totalsRowShown="0" headerRowDxfId="7" dataDxfId="5" headerRowBorderDxfId="6" tableBorderDxfId="4">
  <autoFilter ref="A1:E93" xr:uid="{4EDAA7D5-D7E9-A64E-AC69-8BDB0E40A33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19B3890-3992-8D4E-9C63-28DC51A6746F}" name="txn_date" dataDxfId="3"/>
    <tableColumn id="2" xr3:uid="{F35F1A6C-9091-1B40-B8A9-D4609D27FC33}" name="description" dataDxfId="2"/>
    <tableColumn id="3" xr3:uid="{03242172-242F-EF49-B6C0-015E938DD144}" name="amount" dataDxfId="1"/>
    <tableColumn id="4" xr3:uid="{2E38FF51-E2E1-0D40-B42A-896A6A570D4C}" name="category" dataDxfId="0"/>
    <tableColumn id="5" xr3:uid="{9EC039D4-6F86-7846-87CB-E7CD1EA4C40E}" name="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opLeftCell="A5" zoomScale="159" workbookViewId="0">
      <selection activeCell="A2" sqref="A2:A93"/>
    </sheetView>
  </sheetViews>
  <sheetFormatPr baseColWidth="10" defaultColWidth="8.83203125" defaultRowHeight="15" x14ac:dyDescent="0.2"/>
  <cols>
    <col min="1" max="1" width="10.5" bestFit="1" customWidth="1"/>
    <col min="2" max="2" width="53.33203125" bestFit="1" customWidth="1"/>
    <col min="3" max="3" width="8.5" customWidth="1"/>
    <col min="4" max="4" width="25.1640625" bestFit="1" customWidth="1"/>
  </cols>
  <sheetData>
    <row r="1" spans="1:5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2">
      <c r="A2" t="s">
        <v>10</v>
      </c>
      <c r="B2" t="s">
        <v>11</v>
      </c>
      <c r="C2">
        <v>-3.36</v>
      </c>
      <c r="D2" t="s">
        <v>86</v>
      </c>
    </row>
    <row r="3" spans="1:5" x14ac:dyDescent="0.2">
      <c r="A3" t="s">
        <v>10</v>
      </c>
      <c r="B3" t="s">
        <v>8</v>
      </c>
      <c r="C3">
        <v>-2.76</v>
      </c>
      <c r="D3" t="s">
        <v>83</v>
      </c>
    </row>
    <row r="4" spans="1:5" x14ac:dyDescent="0.2">
      <c r="A4" t="s">
        <v>10</v>
      </c>
      <c r="B4" t="s">
        <v>12</v>
      </c>
      <c r="C4">
        <v>-3</v>
      </c>
      <c r="D4" t="s">
        <v>94</v>
      </c>
    </row>
    <row r="5" spans="1:5" x14ac:dyDescent="0.2">
      <c r="A5" t="s">
        <v>10</v>
      </c>
      <c r="B5" t="s">
        <v>5</v>
      </c>
      <c r="C5">
        <v>-50</v>
      </c>
      <c r="D5" t="s">
        <v>93</v>
      </c>
    </row>
    <row r="6" spans="1:5" x14ac:dyDescent="0.2">
      <c r="A6" t="s">
        <v>10</v>
      </c>
      <c r="B6" t="s">
        <v>9</v>
      </c>
      <c r="C6">
        <v>-4.8600000000000003</v>
      </c>
      <c r="D6" t="s">
        <v>83</v>
      </c>
    </row>
    <row r="7" spans="1:5" x14ac:dyDescent="0.2">
      <c r="A7" t="s">
        <v>13</v>
      </c>
      <c r="B7" t="s">
        <v>14</v>
      </c>
      <c r="C7">
        <v>-20.010000000000002</v>
      </c>
      <c r="D7" t="s">
        <v>84</v>
      </c>
    </row>
    <row r="8" spans="1:5" x14ac:dyDescent="0.2">
      <c r="A8" t="s">
        <v>13</v>
      </c>
      <c r="B8" t="s">
        <v>15</v>
      </c>
      <c r="C8">
        <v>-0.85</v>
      </c>
      <c r="D8" t="s">
        <v>83</v>
      </c>
    </row>
    <row r="9" spans="1:5" x14ac:dyDescent="0.2">
      <c r="A9" t="s">
        <v>16</v>
      </c>
      <c r="B9" t="s">
        <v>17</v>
      </c>
      <c r="C9">
        <v>-8.64</v>
      </c>
      <c r="D9" t="s">
        <v>83</v>
      </c>
    </row>
    <row r="10" spans="1:5" x14ac:dyDescent="0.2">
      <c r="A10" t="s">
        <v>18</v>
      </c>
      <c r="B10" t="s">
        <v>19</v>
      </c>
      <c r="C10">
        <v>-18.399999999999999</v>
      </c>
      <c r="D10" t="s">
        <v>90</v>
      </c>
    </row>
    <row r="11" spans="1:5" x14ac:dyDescent="0.2">
      <c r="A11" t="s">
        <v>20</v>
      </c>
      <c r="B11" t="s">
        <v>21</v>
      </c>
      <c r="C11">
        <v>-3.06</v>
      </c>
      <c r="D11" t="s">
        <v>90</v>
      </c>
    </row>
    <row r="12" spans="1:5" x14ac:dyDescent="0.2">
      <c r="A12" t="s">
        <v>20</v>
      </c>
      <c r="B12" t="s">
        <v>22</v>
      </c>
      <c r="C12">
        <v>-18.64</v>
      </c>
      <c r="D12" t="s">
        <v>91</v>
      </c>
    </row>
    <row r="13" spans="1:5" x14ac:dyDescent="0.2">
      <c r="A13" t="s">
        <v>23</v>
      </c>
      <c r="B13" t="s">
        <v>24</v>
      </c>
      <c r="C13">
        <v>-2.0499999999999998</v>
      </c>
      <c r="D13" t="s">
        <v>94</v>
      </c>
    </row>
    <row r="14" spans="1:5" x14ac:dyDescent="0.2">
      <c r="A14" t="s">
        <v>25</v>
      </c>
      <c r="B14" t="s">
        <v>26</v>
      </c>
      <c r="C14">
        <v>-2.99</v>
      </c>
      <c r="D14" t="s">
        <v>90</v>
      </c>
    </row>
    <row r="15" spans="1:5" x14ac:dyDescent="0.2">
      <c r="A15" t="s">
        <v>27</v>
      </c>
      <c r="B15" t="s">
        <v>9</v>
      </c>
      <c r="C15">
        <v>-3.09</v>
      </c>
      <c r="D15" t="s">
        <v>83</v>
      </c>
    </row>
    <row r="16" spans="1:5" x14ac:dyDescent="0.2">
      <c r="A16" t="s">
        <v>28</v>
      </c>
      <c r="B16" t="s">
        <v>29</v>
      </c>
      <c r="C16">
        <v>-1.65</v>
      </c>
      <c r="D16" t="s">
        <v>83</v>
      </c>
    </row>
    <row r="17" spans="1:5" x14ac:dyDescent="0.2">
      <c r="A17" t="s">
        <v>28</v>
      </c>
      <c r="B17" t="s">
        <v>11</v>
      </c>
      <c r="C17">
        <v>-1.3</v>
      </c>
      <c r="D17" t="s">
        <v>86</v>
      </c>
    </row>
    <row r="18" spans="1:5" x14ac:dyDescent="0.2">
      <c r="A18" t="s">
        <v>28</v>
      </c>
      <c r="B18" t="s">
        <v>26</v>
      </c>
      <c r="C18">
        <v>-6.49</v>
      </c>
      <c r="D18" t="s">
        <v>90</v>
      </c>
    </row>
    <row r="19" spans="1:5" x14ac:dyDescent="0.2">
      <c r="A19" t="s">
        <v>30</v>
      </c>
      <c r="B19" t="s">
        <v>31</v>
      </c>
      <c r="C19">
        <v>-5.64</v>
      </c>
      <c r="D19" t="s">
        <v>83</v>
      </c>
    </row>
    <row r="20" spans="1:5" x14ac:dyDescent="0.2">
      <c r="A20" t="s">
        <v>33</v>
      </c>
      <c r="B20" t="s">
        <v>34</v>
      </c>
      <c r="C20">
        <v>-1.6</v>
      </c>
      <c r="D20" t="s">
        <v>84</v>
      </c>
    </row>
    <row r="21" spans="1:5" x14ac:dyDescent="0.2">
      <c r="A21" t="s">
        <v>33</v>
      </c>
      <c r="B21" t="s">
        <v>34</v>
      </c>
      <c r="C21">
        <v>-0.6</v>
      </c>
      <c r="D21" t="s">
        <v>84</v>
      </c>
    </row>
    <row r="22" spans="1:5" x14ac:dyDescent="0.2">
      <c r="A22" t="s">
        <v>33</v>
      </c>
      <c r="B22" t="s">
        <v>35</v>
      </c>
      <c r="C22">
        <v>-15.5</v>
      </c>
      <c r="D22" t="s">
        <v>94</v>
      </c>
      <c r="E22" t="s">
        <v>95</v>
      </c>
    </row>
    <row r="23" spans="1:5" x14ac:dyDescent="0.2">
      <c r="A23" t="s">
        <v>33</v>
      </c>
      <c r="B23" t="s">
        <v>36</v>
      </c>
      <c r="C23">
        <v>-2.2999999999999998</v>
      </c>
      <c r="D23" t="s">
        <v>85</v>
      </c>
    </row>
    <row r="24" spans="1:5" x14ac:dyDescent="0.2">
      <c r="A24" t="s">
        <v>33</v>
      </c>
      <c r="B24" t="s">
        <v>37</v>
      </c>
      <c r="C24">
        <v>-25.98</v>
      </c>
      <c r="D24" t="s">
        <v>91</v>
      </c>
    </row>
    <row r="25" spans="1:5" x14ac:dyDescent="0.2">
      <c r="A25" t="s">
        <v>33</v>
      </c>
      <c r="B25" t="s">
        <v>15</v>
      </c>
      <c r="C25">
        <v>-1.58</v>
      </c>
      <c r="D25" t="s">
        <v>83</v>
      </c>
    </row>
    <row r="26" spans="1:5" x14ac:dyDescent="0.2">
      <c r="A26" t="s">
        <v>33</v>
      </c>
      <c r="B26" t="s">
        <v>15</v>
      </c>
      <c r="C26">
        <v>-2.94</v>
      </c>
      <c r="D26" t="s">
        <v>83</v>
      </c>
    </row>
    <row r="27" spans="1:5" x14ac:dyDescent="0.2">
      <c r="A27" t="s">
        <v>38</v>
      </c>
      <c r="B27" t="s">
        <v>39</v>
      </c>
      <c r="C27">
        <v>-1.88</v>
      </c>
      <c r="D27" t="s">
        <v>86</v>
      </c>
    </row>
    <row r="28" spans="1:5" x14ac:dyDescent="0.2">
      <c r="A28" t="s">
        <v>40</v>
      </c>
      <c r="B28" t="s">
        <v>11</v>
      </c>
      <c r="C28">
        <v>-1.3</v>
      </c>
      <c r="D28" t="s">
        <v>86</v>
      </c>
    </row>
    <row r="29" spans="1:5" x14ac:dyDescent="0.2">
      <c r="A29" t="s">
        <v>40</v>
      </c>
      <c r="B29" t="s">
        <v>39</v>
      </c>
      <c r="C29">
        <v>-1.41</v>
      </c>
      <c r="D29" t="s">
        <v>86</v>
      </c>
    </row>
    <row r="30" spans="1:5" x14ac:dyDescent="0.2">
      <c r="A30" t="s">
        <v>40</v>
      </c>
      <c r="B30" t="s">
        <v>41</v>
      </c>
      <c r="C30">
        <f>-258.75/3</f>
        <v>-86.25</v>
      </c>
      <c r="D30" t="s">
        <v>91</v>
      </c>
      <c r="E30" t="s">
        <v>96</v>
      </c>
    </row>
    <row r="31" spans="1:5" x14ac:dyDescent="0.2">
      <c r="A31" t="s">
        <v>40</v>
      </c>
      <c r="B31" t="s">
        <v>29</v>
      </c>
      <c r="C31">
        <v>-1.49</v>
      </c>
      <c r="D31" t="s">
        <v>83</v>
      </c>
    </row>
    <row r="32" spans="1:5" x14ac:dyDescent="0.2">
      <c r="A32" t="s">
        <v>40</v>
      </c>
      <c r="B32" t="s">
        <v>14</v>
      </c>
      <c r="C32">
        <v>-20.079999999999998</v>
      </c>
      <c r="D32" t="s">
        <v>84</v>
      </c>
    </row>
    <row r="33" spans="1:4" x14ac:dyDescent="0.2">
      <c r="A33" t="s">
        <v>42</v>
      </c>
      <c r="B33" t="s">
        <v>34</v>
      </c>
      <c r="C33">
        <v>-1</v>
      </c>
      <c r="D33" t="s">
        <v>84</v>
      </c>
    </row>
    <row r="34" spans="1:4" x14ac:dyDescent="0.2">
      <c r="A34" t="s">
        <v>43</v>
      </c>
      <c r="B34" t="s">
        <v>29</v>
      </c>
      <c r="C34">
        <v>-2.79</v>
      </c>
      <c r="D34" t="s">
        <v>83</v>
      </c>
    </row>
    <row r="35" spans="1:4" x14ac:dyDescent="0.2">
      <c r="A35" t="s">
        <v>43</v>
      </c>
      <c r="B35" t="s">
        <v>8</v>
      </c>
      <c r="C35">
        <v>-0.44</v>
      </c>
      <c r="D35" t="s">
        <v>83</v>
      </c>
    </row>
    <row r="36" spans="1:4" x14ac:dyDescent="0.2">
      <c r="A36" t="s">
        <v>43</v>
      </c>
      <c r="B36" t="s">
        <v>39</v>
      </c>
      <c r="C36">
        <v>-0.95</v>
      </c>
      <c r="D36" t="s">
        <v>86</v>
      </c>
    </row>
    <row r="37" spans="1:4" x14ac:dyDescent="0.2">
      <c r="A37" t="s">
        <v>43</v>
      </c>
      <c r="B37" t="s">
        <v>44</v>
      </c>
      <c r="C37">
        <v>-1.75</v>
      </c>
      <c r="D37" t="s">
        <v>94</v>
      </c>
    </row>
    <row r="38" spans="1:4" x14ac:dyDescent="0.2">
      <c r="A38" t="s">
        <v>45</v>
      </c>
      <c r="B38" t="s">
        <v>6</v>
      </c>
      <c r="C38">
        <v>-30.02</v>
      </c>
      <c r="D38" t="s">
        <v>84</v>
      </c>
    </row>
    <row r="39" spans="1:4" x14ac:dyDescent="0.2">
      <c r="A39" t="s">
        <v>45</v>
      </c>
      <c r="B39" t="s">
        <v>7</v>
      </c>
      <c r="C39">
        <v>-2.2999999999999998</v>
      </c>
      <c r="D39" t="s">
        <v>85</v>
      </c>
    </row>
    <row r="40" spans="1:4" x14ac:dyDescent="0.2">
      <c r="A40" t="s">
        <v>45</v>
      </c>
      <c r="B40" t="s">
        <v>15</v>
      </c>
      <c r="C40">
        <v>-1.0900000000000001</v>
      </c>
      <c r="D40" t="s">
        <v>83</v>
      </c>
    </row>
    <row r="41" spans="1:4" x14ac:dyDescent="0.2">
      <c r="A41" t="s">
        <v>46</v>
      </c>
      <c r="B41" t="s">
        <v>47</v>
      </c>
      <c r="C41">
        <v>-11.1</v>
      </c>
      <c r="D41" t="s">
        <v>91</v>
      </c>
    </row>
    <row r="42" spans="1:4" x14ac:dyDescent="0.2">
      <c r="A42" t="s">
        <v>48</v>
      </c>
      <c r="B42" t="s">
        <v>32</v>
      </c>
      <c r="C42">
        <v>-1</v>
      </c>
      <c r="D42" t="s">
        <v>94</v>
      </c>
    </row>
    <row r="43" spans="1:4" x14ac:dyDescent="0.2">
      <c r="A43" t="s">
        <v>48</v>
      </c>
      <c r="B43" t="s">
        <v>15</v>
      </c>
      <c r="C43">
        <v>-4.37</v>
      </c>
      <c r="D43" t="s">
        <v>83</v>
      </c>
    </row>
    <row r="44" spans="1:4" x14ac:dyDescent="0.2">
      <c r="A44" t="s">
        <v>48</v>
      </c>
      <c r="B44" t="s">
        <v>6</v>
      </c>
      <c r="C44">
        <v>-5.8</v>
      </c>
      <c r="D44" t="s">
        <v>94</v>
      </c>
    </row>
    <row r="45" spans="1:4" x14ac:dyDescent="0.2">
      <c r="A45" t="s">
        <v>48</v>
      </c>
      <c r="B45" t="s">
        <v>39</v>
      </c>
      <c r="C45">
        <v>-1.31</v>
      </c>
      <c r="D45" t="s">
        <v>86</v>
      </c>
    </row>
    <row r="46" spans="1:4" x14ac:dyDescent="0.2">
      <c r="A46" t="s">
        <v>48</v>
      </c>
      <c r="B46" t="s">
        <v>39</v>
      </c>
      <c r="C46">
        <v>-1.37</v>
      </c>
      <c r="D46" t="s">
        <v>86</v>
      </c>
    </row>
    <row r="47" spans="1:4" x14ac:dyDescent="0.2">
      <c r="A47" t="s">
        <v>48</v>
      </c>
      <c r="B47" t="s">
        <v>32</v>
      </c>
      <c r="C47">
        <v>-1</v>
      </c>
      <c r="D47" t="s">
        <v>94</v>
      </c>
    </row>
    <row r="48" spans="1:4" x14ac:dyDescent="0.2">
      <c r="A48" t="s">
        <v>48</v>
      </c>
      <c r="B48" t="s">
        <v>32</v>
      </c>
      <c r="C48">
        <v>-1</v>
      </c>
      <c r="D48" t="s">
        <v>94</v>
      </c>
    </row>
    <row r="49" spans="1:4" x14ac:dyDescent="0.2">
      <c r="A49" t="s">
        <v>48</v>
      </c>
      <c r="B49" t="s">
        <v>7</v>
      </c>
      <c r="C49">
        <v>-2.9</v>
      </c>
      <c r="D49" t="s">
        <v>85</v>
      </c>
    </row>
    <row r="50" spans="1:4" x14ac:dyDescent="0.2">
      <c r="A50" t="s">
        <v>48</v>
      </c>
      <c r="B50" t="s">
        <v>37</v>
      </c>
      <c r="C50">
        <v>-5.49</v>
      </c>
      <c r="D50" t="s">
        <v>91</v>
      </c>
    </row>
    <row r="51" spans="1:4" x14ac:dyDescent="0.2">
      <c r="A51" t="s">
        <v>49</v>
      </c>
      <c r="B51" t="s">
        <v>50</v>
      </c>
      <c r="C51">
        <v>-14.83</v>
      </c>
      <c r="D51" t="s">
        <v>91</v>
      </c>
    </row>
    <row r="52" spans="1:4" x14ac:dyDescent="0.2">
      <c r="A52" t="s">
        <v>49</v>
      </c>
      <c r="B52" t="s">
        <v>51</v>
      </c>
      <c r="C52">
        <v>-3.46</v>
      </c>
      <c r="D52" t="s">
        <v>91</v>
      </c>
    </row>
    <row r="53" spans="1:4" x14ac:dyDescent="0.2">
      <c r="A53" t="s">
        <v>49</v>
      </c>
      <c r="B53" t="s">
        <v>52</v>
      </c>
      <c r="C53">
        <v>-1.8</v>
      </c>
      <c r="D53" t="s">
        <v>91</v>
      </c>
    </row>
    <row r="54" spans="1:4" x14ac:dyDescent="0.2">
      <c r="A54" t="s">
        <v>53</v>
      </c>
      <c r="B54" t="s">
        <v>54</v>
      </c>
      <c r="C54">
        <v>-2.44</v>
      </c>
      <c r="D54" t="s">
        <v>91</v>
      </c>
    </row>
    <row r="55" spans="1:4" x14ac:dyDescent="0.2">
      <c r="A55" t="s">
        <v>53</v>
      </c>
      <c r="B55" t="s">
        <v>55</v>
      </c>
      <c r="C55" s="8">
        <f>-18.65/3</f>
        <v>-6.2166666666666659</v>
      </c>
      <c r="D55" t="s">
        <v>91</v>
      </c>
    </row>
    <row r="56" spans="1:4" x14ac:dyDescent="0.2">
      <c r="A56" t="s">
        <v>53</v>
      </c>
      <c r="B56" t="s">
        <v>54</v>
      </c>
      <c r="C56">
        <v>-2.1</v>
      </c>
      <c r="D56" t="s">
        <v>91</v>
      </c>
    </row>
    <row r="57" spans="1:4" x14ac:dyDescent="0.2">
      <c r="A57" t="s">
        <v>53</v>
      </c>
      <c r="B57" t="s">
        <v>52</v>
      </c>
      <c r="C57">
        <v>-2.44</v>
      </c>
      <c r="D57" t="s">
        <v>91</v>
      </c>
    </row>
    <row r="58" spans="1:4" x14ac:dyDescent="0.2">
      <c r="A58" t="s">
        <v>56</v>
      </c>
      <c r="B58" t="s">
        <v>57</v>
      </c>
      <c r="C58">
        <f>-11.72/2</f>
        <v>-5.86</v>
      </c>
      <c r="D58" t="s">
        <v>91</v>
      </c>
    </row>
    <row r="59" spans="1:4" x14ac:dyDescent="0.2">
      <c r="A59" t="s">
        <v>56</v>
      </c>
      <c r="B59" t="s">
        <v>37</v>
      </c>
      <c r="C59">
        <v>-28.47</v>
      </c>
      <c r="D59" t="s">
        <v>91</v>
      </c>
    </row>
    <row r="60" spans="1:4" x14ac:dyDescent="0.2">
      <c r="A60" t="s">
        <v>56</v>
      </c>
      <c r="B60" t="s">
        <v>58</v>
      </c>
      <c r="C60" s="8">
        <f>-45.53/3</f>
        <v>-15.176666666666668</v>
      </c>
      <c r="D60" t="s">
        <v>91</v>
      </c>
    </row>
    <row r="61" spans="1:4" x14ac:dyDescent="0.2">
      <c r="A61" t="s">
        <v>56</v>
      </c>
      <c r="B61" t="s">
        <v>59</v>
      </c>
      <c r="C61">
        <v>-1.03</v>
      </c>
      <c r="D61" t="s">
        <v>91</v>
      </c>
    </row>
    <row r="62" spans="1:4" x14ac:dyDescent="0.2">
      <c r="A62" t="s">
        <v>56</v>
      </c>
      <c r="B62" t="s">
        <v>60</v>
      </c>
      <c r="C62">
        <v>-6.04</v>
      </c>
      <c r="D62" t="s">
        <v>91</v>
      </c>
    </row>
    <row r="63" spans="1:4" x14ac:dyDescent="0.2">
      <c r="A63" t="s">
        <v>56</v>
      </c>
      <c r="B63" t="s">
        <v>54</v>
      </c>
      <c r="C63">
        <v>-2.06</v>
      </c>
      <c r="D63" t="s">
        <v>91</v>
      </c>
    </row>
    <row r="64" spans="1:4" x14ac:dyDescent="0.2">
      <c r="A64" t="s">
        <v>56</v>
      </c>
      <c r="B64" t="s">
        <v>54</v>
      </c>
      <c r="C64">
        <v>-0.76</v>
      </c>
      <c r="D64" s="9" t="s">
        <v>91</v>
      </c>
    </row>
    <row r="65" spans="1:4" x14ac:dyDescent="0.2">
      <c r="A65" t="s">
        <v>56</v>
      </c>
      <c r="B65" t="s">
        <v>9</v>
      </c>
      <c r="C65">
        <v>-4.17</v>
      </c>
      <c r="D65" s="9" t="s">
        <v>91</v>
      </c>
    </row>
    <row r="66" spans="1:4" x14ac:dyDescent="0.2">
      <c r="A66" t="s">
        <v>61</v>
      </c>
      <c r="B66" t="s">
        <v>54</v>
      </c>
      <c r="C66">
        <v>-3.01</v>
      </c>
      <c r="D66" s="9" t="s">
        <v>91</v>
      </c>
    </row>
    <row r="67" spans="1:4" x14ac:dyDescent="0.2">
      <c r="A67" t="s">
        <v>61</v>
      </c>
      <c r="B67" t="s">
        <v>62</v>
      </c>
      <c r="C67" s="8">
        <f>-7.72/3</f>
        <v>-2.5733333333333333</v>
      </c>
      <c r="D67" s="9" t="s">
        <v>91</v>
      </c>
    </row>
    <row r="68" spans="1:4" x14ac:dyDescent="0.2">
      <c r="A68" t="s">
        <v>61</v>
      </c>
      <c r="B68" t="s">
        <v>63</v>
      </c>
      <c r="C68">
        <v>-1.67</v>
      </c>
      <c r="D68" s="9" t="s">
        <v>91</v>
      </c>
    </row>
    <row r="69" spans="1:4" x14ac:dyDescent="0.2">
      <c r="A69" t="s">
        <v>61</v>
      </c>
      <c r="B69" t="s">
        <v>64</v>
      </c>
      <c r="C69" s="8">
        <f>-7.45/2</f>
        <v>-3.7250000000000001</v>
      </c>
      <c r="D69" s="9" t="s">
        <v>91</v>
      </c>
    </row>
    <row r="70" spans="1:4" x14ac:dyDescent="0.2">
      <c r="A70" t="s">
        <v>61</v>
      </c>
      <c r="B70" t="s">
        <v>65</v>
      </c>
      <c r="C70">
        <v>-1.17</v>
      </c>
      <c r="D70" s="9" t="s">
        <v>91</v>
      </c>
    </row>
    <row r="71" spans="1:4" x14ac:dyDescent="0.2">
      <c r="A71" t="s">
        <v>61</v>
      </c>
      <c r="B71" t="s">
        <v>66</v>
      </c>
      <c r="C71" s="8">
        <f>-13.45/2</f>
        <v>-6.7249999999999996</v>
      </c>
      <c r="D71" s="9" t="s">
        <v>91</v>
      </c>
    </row>
    <row r="72" spans="1:4" x14ac:dyDescent="0.2">
      <c r="A72" t="s">
        <v>61</v>
      </c>
      <c r="B72" t="s">
        <v>67</v>
      </c>
      <c r="C72">
        <v>-2.2200000000000002</v>
      </c>
      <c r="D72" s="9" t="s">
        <v>94</v>
      </c>
    </row>
    <row r="73" spans="1:4" x14ac:dyDescent="0.2">
      <c r="A73" t="s">
        <v>61</v>
      </c>
      <c r="B73" t="s">
        <v>68</v>
      </c>
      <c r="C73" s="8">
        <f>-13.83/2</f>
        <v>-6.915</v>
      </c>
      <c r="D73" s="9" t="s">
        <v>91</v>
      </c>
    </row>
    <row r="74" spans="1:4" x14ac:dyDescent="0.2">
      <c r="A74" t="s">
        <v>69</v>
      </c>
      <c r="B74" t="s">
        <v>54</v>
      </c>
      <c r="C74">
        <v>-3.73</v>
      </c>
      <c r="D74" s="9" t="s">
        <v>91</v>
      </c>
    </row>
    <row r="75" spans="1:4" x14ac:dyDescent="0.2">
      <c r="A75" t="s">
        <v>69</v>
      </c>
      <c r="B75" t="s">
        <v>54</v>
      </c>
      <c r="C75">
        <v>-2.75</v>
      </c>
      <c r="D75" s="9" t="s">
        <v>91</v>
      </c>
    </row>
    <row r="76" spans="1:4" x14ac:dyDescent="0.2">
      <c r="A76" t="s">
        <v>69</v>
      </c>
      <c r="B76" t="s">
        <v>50</v>
      </c>
      <c r="C76">
        <v>-1.29</v>
      </c>
      <c r="D76" s="9" t="s">
        <v>91</v>
      </c>
    </row>
    <row r="77" spans="1:4" x14ac:dyDescent="0.2">
      <c r="A77" t="s">
        <v>69</v>
      </c>
      <c r="B77" t="s">
        <v>70</v>
      </c>
      <c r="C77">
        <v>-0.52</v>
      </c>
      <c r="D77" s="9" t="s">
        <v>91</v>
      </c>
    </row>
    <row r="78" spans="1:4" x14ac:dyDescent="0.2">
      <c r="A78" t="s">
        <v>69</v>
      </c>
      <c r="B78" t="s">
        <v>71</v>
      </c>
      <c r="C78">
        <v>-0.78</v>
      </c>
      <c r="D78" s="9" t="s">
        <v>94</v>
      </c>
    </row>
    <row r="79" spans="1:4" x14ac:dyDescent="0.2">
      <c r="A79" t="s">
        <v>69</v>
      </c>
      <c r="B79" t="s">
        <v>60</v>
      </c>
      <c r="C79">
        <v>-4.4400000000000004</v>
      </c>
      <c r="D79" s="9" t="s">
        <v>91</v>
      </c>
    </row>
    <row r="80" spans="1:4" x14ac:dyDescent="0.2">
      <c r="A80" t="s">
        <v>72</v>
      </c>
      <c r="B80" t="s">
        <v>39</v>
      </c>
      <c r="C80">
        <v>-1.45</v>
      </c>
      <c r="D80" s="9" t="s">
        <v>86</v>
      </c>
    </row>
    <row r="81" spans="1:4" x14ac:dyDescent="0.2">
      <c r="A81" t="s">
        <v>72</v>
      </c>
      <c r="B81" t="s">
        <v>7</v>
      </c>
      <c r="C81">
        <v>-2.2999999999999998</v>
      </c>
      <c r="D81" s="9" t="s">
        <v>85</v>
      </c>
    </row>
    <row r="82" spans="1:4" x14ac:dyDescent="0.2">
      <c r="A82" t="s">
        <v>72</v>
      </c>
      <c r="B82" t="s">
        <v>60</v>
      </c>
      <c r="C82">
        <v>-2.6</v>
      </c>
      <c r="D82" s="9" t="s">
        <v>86</v>
      </c>
    </row>
    <row r="83" spans="1:4" x14ac:dyDescent="0.2">
      <c r="A83" t="s">
        <v>72</v>
      </c>
      <c r="B83" t="s">
        <v>8</v>
      </c>
      <c r="C83">
        <v>-1.1000000000000001</v>
      </c>
      <c r="D83" s="9" t="s">
        <v>83</v>
      </c>
    </row>
    <row r="84" spans="1:4" x14ac:dyDescent="0.2">
      <c r="A84" t="s">
        <v>73</v>
      </c>
      <c r="B84" t="s">
        <v>15</v>
      </c>
      <c r="C84">
        <v>-2.1800000000000002</v>
      </c>
      <c r="D84" s="9" t="s">
        <v>83</v>
      </c>
    </row>
    <row r="85" spans="1:4" x14ac:dyDescent="0.2">
      <c r="A85" t="s">
        <v>73</v>
      </c>
      <c r="B85" t="s">
        <v>14</v>
      </c>
      <c r="C85">
        <v>-20.2</v>
      </c>
      <c r="D85" s="9" t="s">
        <v>84</v>
      </c>
    </row>
    <row r="86" spans="1:4" x14ac:dyDescent="0.2">
      <c r="A86" s="10">
        <v>45901</v>
      </c>
      <c r="B86" t="s">
        <v>97</v>
      </c>
      <c r="C86">
        <v>-3</v>
      </c>
      <c r="D86" s="9" t="s">
        <v>85</v>
      </c>
    </row>
    <row r="87" spans="1:4" x14ac:dyDescent="0.2">
      <c r="A87" s="10">
        <v>45909</v>
      </c>
      <c r="B87" t="s">
        <v>97</v>
      </c>
      <c r="C87">
        <v>-3</v>
      </c>
      <c r="D87" s="9" t="s">
        <v>85</v>
      </c>
    </row>
    <row r="88" spans="1:4" x14ac:dyDescent="0.2">
      <c r="A88" s="11">
        <v>45910</v>
      </c>
      <c r="B88" s="9" t="s">
        <v>97</v>
      </c>
      <c r="C88" s="9">
        <v>-3</v>
      </c>
      <c r="D88" s="9" t="s">
        <v>85</v>
      </c>
    </row>
    <row r="89" spans="1:4" x14ac:dyDescent="0.2">
      <c r="A89" s="11">
        <v>45911</v>
      </c>
      <c r="B89" s="9" t="s">
        <v>97</v>
      </c>
      <c r="C89" s="9">
        <v>-3</v>
      </c>
      <c r="D89" s="9" t="s">
        <v>85</v>
      </c>
    </row>
    <row r="90" spans="1:4" x14ac:dyDescent="0.2">
      <c r="A90" s="10">
        <v>45912</v>
      </c>
      <c r="B90" t="s">
        <v>98</v>
      </c>
      <c r="C90">
        <v>-7</v>
      </c>
      <c r="D90" s="9" t="s">
        <v>86</v>
      </c>
    </row>
    <row r="91" spans="1:4" x14ac:dyDescent="0.2">
      <c r="A91" s="11">
        <v>45916</v>
      </c>
      <c r="B91" s="9" t="s">
        <v>97</v>
      </c>
      <c r="C91" s="9">
        <v>-3</v>
      </c>
      <c r="D91" s="9" t="s">
        <v>85</v>
      </c>
    </row>
    <row r="92" spans="1:4" x14ac:dyDescent="0.2">
      <c r="A92" s="11">
        <v>45917</v>
      </c>
      <c r="B92" s="9" t="s">
        <v>97</v>
      </c>
      <c r="C92" s="9">
        <v>-3</v>
      </c>
      <c r="D92" s="9" t="s">
        <v>85</v>
      </c>
    </row>
    <row r="93" spans="1:4" x14ac:dyDescent="0.2">
      <c r="A93" s="10">
        <v>45929</v>
      </c>
      <c r="B93" s="9" t="s">
        <v>99</v>
      </c>
      <c r="C93" s="9">
        <v>-10</v>
      </c>
      <c r="D93" s="9" t="s">
        <v>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5619-237E-DF42-AF81-8FE861EC90D0}">
  <dimension ref="A1:C27"/>
  <sheetViews>
    <sheetView tabSelected="1" topLeftCell="A7" zoomScale="164" workbookViewId="0">
      <selection activeCell="D15" sqref="D15"/>
    </sheetView>
  </sheetViews>
  <sheetFormatPr baseColWidth="10" defaultRowHeight="15" x14ac:dyDescent="0.2"/>
  <cols>
    <col min="1" max="1" width="26" bestFit="1" customWidth="1"/>
    <col min="2" max="2" width="32.83203125" bestFit="1" customWidth="1"/>
    <col min="3" max="3" width="15.6640625" bestFit="1" customWidth="1"/>
  </cols>
  <sheetData>
    <row r="1" spans="1:3" ht="16" x14ac:dyDescent="0.2">
      <c r="A1" s="1" t="s">
        <v>74</v>
      </c>
      <c r="B1" s="2">
        <v>680</v>
      </c>
    </row>
    <row r="2" spans="1:3" ht="16" x14ac:dyDescent="0.2">
      <c r="A2" s="3" t="s">
        <v>75</v>
      </c>
      <c r="B2" s="4">
        <v>92</v>
      </c>
    </row>
    <row r="3" spans="1:3" ht="16" x14ac:dyDescent="0.2">
      <c r="A3" s="3" t="s">
        <v>76</v>
      </c>
      <c r="B3" s="4">
        <v>168</v>
      </c>
    </row>
    <row r="4" spans="1:3" ht="16" x14ac:dyDescent="0.2">
      <c r="A4" s="3" t="s">
        <v>77</v>
      </c>
      <c r="B4" s="5">
        <v>0</v>
      </c>
    </row>
    <row r="5" spans="1:3" ht="16" x14ac:dyDescent="0.2">
      <c r="A5" s="3"/>
      <c r="B5" s="6"/>
    </row>
    <row r="6" spans="1:3" ht="16" x14ac:dyDescent="0.2">
      <c r="A6" s="3" t="s">
        <v>78</v>
      </c>
      <c r="B6" s="4">
        <v>395</v>
      </c>
    </row>
    <row r="7" spans="1:3" ht="16" x14ac:dyDescent="0.2">
      <c r="A7" s="3" t="s">
        <v>79</v>
      </c>
      <c r="B7" s="7">
        <v>1052</v>
      </c>
    </row>
    <row r="8" spans="1:3" ht="16" x14ac:dyDescent="0.2">
      <c r="A8" s="3" t="s">
        <v>80</v>
      </c>
      <c r="B8" s="4">
        <v>400</v>
      </c>
    </row>
    <row r="9" spans="1:3" ht="16" x14ac:dyDescent="0.2">
      <c r="A9" s="3" t="s">
        <v>81</v>
      </c>
      <c r="B9" s="4">
        <v>800</v>
      </c>
      <c r="C9" t="s">
        <v>82</v>
      </c>
    </row>
    <row r="12" spans="1:3" ht="20" x14ac:dyDescent="0.25">
      <c r="A12" s="15" t="s">
        <v>100</v>
      </c>
      <c r="B12" s="15"/>
    </row>
    <row r="13" spans="1:3" ht="16" x14ac:dyDescent="0.2">
      <c r="A13" s="3" t="s">
        <v>83</v>
      </c>
      <c r="B13" s="6">
        <f>SUMIF(Table1[category],Stats!A13,Table1[amount])</f>
        <v>-45.47</v>
      </c>
    </row>
    <row r="14" spans="1:3" ht="16" x14ac:dyDescent="0.2">
      <c r="A14" s="3" t="s">
        <v>84</v>
      </c>
      <c r="B14" s="6">
        <f>SUMIF(Table1[category],Stats!A14,Table1[amount])</f>
        <v>-93.51</v>
      </c>
    </row>
    <row r="15" spans="1:3" ht="16" x14ac:dyDescent="0.2">
      <c r="A15" s="3" t="s">
        <v>85</v>
      </c>
      <c r="B15" s="6">
        <f>SUMIF(Table1[category],Stats!A15,Table1[amount])</f>
        <v>-27.8</v>
      </c>
    </row>
    <row r="16" spans="1:3" ht="16" x14ac:dyDescent="0.2">
      <c r="A16" s="3" t="s">
        <v>86</v>
      </c>
      <c r="B16" s="6">
        <f>SUMIF(Table1[category],Stats!A16,Table1[amount])</f>
        <v>-23.93</v>
      </c>
    </row>
    <row r="17" spans="1:2" ht="16" x14ac:dyDescent="0.2">
      <c r="A17" s="3" t="s">
        <v>87</v>
      </c>
      <c r="B17" s="6">
        <f>SUMIF(Table1[category],Stats!A17,Table1[amount])</f>
        <v>0</v>
      </c>
    </row>
    <row r="18" spans="1:2" ht="16" x14ac:dyDescent="0.2">
      <c r="A18" s="3" t="s">
        <v>88</v>
      </c>
      <c r="B18" s="6">
        <f>SUMIF(Table1[category],Stats!A18,Table1[amount])</f>
        <v>0</v>
      </c>
    </row>
    <row r="19" spans="1:2" ht="16" x14ac:dyDescent="0.2">
      <c r="A19" s="3" t="s">
        <v>89</v>
      </c>
      <c r="B19" s="6">
        <f>SUMIF(Table1[category],Stats!A19,Table1[amount])</f>
        <v>0</v>
      </c>
    </row>
    <row r="20" spans="1:2" ht="16" x14ac:dyDescent="0.2">
      <c r="A20" s="3" t="s">
        <v>90</v>
      </c>
      <c r="B20" s="6">
        <f>SUMIF(Table1[category],Stats!A20,Table1[amount])</f>
        <v>-30.939999999999998</v>
      </c>
    </row>
    <row r="21" spans="1:2" ht="16" x14ac:dyDescent="0.2">
      <c r="A21" s="3" t="s">
        <v>91</v>
      </c>
      <c r="B21" s="13">
        <f>SUMIF(Table1[category],Stats!A21,Table1[amount])</f>
        <v>-282.83166666666671</v>
      </c>
    </row>
    <row r="22" spans="1:2" ht="16" x14ac:dyDescent="0.2">
      <c r="A22" s="3" t="s">
        <v>92</v>
      </c>
      <c r="B22" s="6">
        <f>SUMIF(Table1[category],Stats!A22,Table1[amount])</f>
        <v>0</v>
      </c>
    </row>
    <row r="23" spans="1:2" ht="16" x14ac:dyDescent="0.2">
      <c r="A23" s="3" t="s">
        <v>94</v>
      </c>
      <c r="B23" s="6">
        <f>SUMIF(Table1[category],Stats!A23,Table1[amount])</f>
        <v>-44.1</v>
      </c>
    </row>
    <row r="24" spans="1:2" ht="16" x14ac:dyDescent="0.2">
      <c r="A24" s="3" t="s">
        <v>93</v>
      </c>
      <c r="B24" s="6">
        <f>SUMIF(Table1[category],Stats!A24,Table1[amount])</f>
        <v>-50</v>
      </c>
    </row>
    <row r="25" spans="1:2" ht="16" x14ac:dyDescent="0.2">
      <c r="A25" s="16"/>
      <c r="B25" s="17"/>
    </row>
    <row r="26" spans="1:2" ht="16" x14ac:dyDescent="0.2">
      <c r="A26" s="3" t="s">
        <v>101</v>
      </c>
      <c r="B26" s="6">
        <f>SUMIF(Table1[category],Stats!A26,Table1[amount])</f>
        <v>0</v>
      </c>
    </row>
    <row r="27" spans="1:2" x14ac:dyDescent="0.2">
      <c r="A27" s="9"/>
      <c r="B27" s="14">
        <f>SUM(B13:B24)</f>
        <v>-598.58166666666671</v>
      </c>
    </row>
  </sheetData>
  <mergeCells count="2">
    <mergeCell ref="A12:B1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2025-10-01T11:22:40Z</dcterms:created>
  <dcterms:modified xsi:type="dcterms:W3CDTF">2025-11-04T11:05:01Z</dcterms:modified>
</cp:coreProperties>
</file>