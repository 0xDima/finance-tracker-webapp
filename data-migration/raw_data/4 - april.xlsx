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test/Documents/personal/finance-tracker/excel/monthly/"/>
    </mc:Choice>
  </mc:AlternateContent>
  <xr:revisionPtr revIDLastSave="0" documentId="13_ncr:1_{1C60E66D-B776-A24E-BF3F-21086C0F1903}" xr6:coauthVersionLast="47" xr6:coauthVersionMax="47" xr10:uidLastSave="{00000000-0000-0000-0000-000000000000}"/>
  <bookViews>
    <workbookView xWindow="0" yWindow="700" windowWidth="27040" windowHeight="15120" activeTab="1" xr2:uid="{00000000-000D-0000-FFFF-FFFF00000000}"/>
  </bookViews>
  <sheets>
    <sheet name="Transactions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4" i="2"/>
  <c r="B24" i="2" s="1"/>
  <c r="B27" i="2" s="1"/>
  <c r="B15" i="2"/>
  <c r="B16" i="2"/>
  <c r="B17" i="2"/>
  <c r="B18" i="2"/>
  <c r="B19" i="2"/>
  <c r="B20" i="2"/>
  <c r="B21" i="2"/>
  <c r="B22" i="2"/>
  <c r="B23" i="2"/>
  <c r="B26" i="2"/>
  <c r="C101" i="1"/>
</calcChain>
</file>

<file path=xl/sharedStrings.xml><?xml version="1.0" encoding="utf-8"?>
<sst xmlns="http://schemas.openxmlformats.org/spreadsheetml/2006/main" count="325" uniqueCount="101">
  <si>
    <t>01/04/2025</t>
  </si>
  <si>
    <t>Naplata naknade za vođenje računa</t>
  </si>
  <si>
    <t>MOBILIT? DI MARCA SPA</t>
  </si>
  <si>
    <t>PORT LOTNICZY WROCLAW</t>
  </si>
  <si>
    <t>Relax &amp; Caffè</t>
  </si>
  <si>
    <t>Naturasi Pdv Treviso</t>
  </si>
  <si>
    <t>Kibag</t>
  </si>
  <si>
    <t>McDonald's</t>
  </si>
  <si>
    <t>Bilety Urbancard Wrocl</t>
  </si>
  <si>
    <t>TREVISO SS DPR</t>
  </si>
  <si>
    <t>Google YouTubePremium</t>
  </si>
  <si>
    <t>02/04/2025</t>
  </si>
  <si>
    <t>SPAR Food &amp; Fuel</t>
  </si>
  <si>
    <t>Transfer to Revolut user</t>
  </si>
  <si>
    <t>Restoran Kampus</t>
  </si>
  <si>
    <t>Cacao</t>
  </si>
  <si>
    <t>03/04/2025</t>
  </si>
  <si>
    <t>RESTORAN KAMPUS</t>
  </si>
  <si>
    <t>MOIRE STUDENT SHOP</t>
  </si>
  <si>
    <t>Govendi Time D.o.o.</t>
  </si>
  <si>
    <t>BOLT.EUR2504031305</t>
  </si>
  <si>
    <t>Apple</t>
  </si>
  <si>
    <t>04/04/2025</t>
  </si>
  <si>
    <t>Gavranović</t>
  </si>
  <si>
    <t>05/04/2025</t>
  </si>
  <si>
    <t>Burger King Rijeka Korzo</t>
  </si>
  <si>
    <t>RIJEKA TRANS</t>
  </si>
  <si>
    <t>BOLT.EUR2504031305,Tallinn,EE</t>
  </si>
  <si>
    <t>Cancel BOLT.EUR2504031305</t>
  </si>
  <si>
    <t>07/04/2025</t>
  </si>
  <si>
    <t>Govendi time d.o.o.</t>
  </si>
  <si>
    <t>08/04/2025</t>
  </si>
  <si>
    <t>09/04/2025</t>
  </si>
  <si>
    <t>10/04/2025</t>
  </si>
  <si>
    <t>Index</t>
  </si>
  <si>
    <t>Plodine</t>
  </si>
  <si>
    <t>Bolt</t>
  </si>
  <si>
    <t>11/04/2025</t>
  </si>
  <si>
    <t>12/04/2025</t>
  </si>
  <si>
    <t>Tabacco Shop</t>
  </si>
  <si>
    <t>13/04/2025</t>
  </si>
  <si>
    <t>UPLATA NA DEPOZITNOM BANKOMATU</t>
  </si>
  <si>
    <t>Lidl</t>
  </si>
  <si>
    <t>14/04/2025</t>
  </si>
  <si>
    <t>KEKS Pay</t>
  </si>
  <si>
    <t>15/04/2025</t>
  </si>
  <si>
    <t>16/04/2025</t>
  </si>
  <si>
    <t>Pekara Krimeja d.o.o.</t>
  </si>
  <si>
    <t>PAYPAL *UDEMY</t>
  </si>
  <si>
    <t>Studenac</t>
  </si>
  <si>
    <t>17/04/2025</t>
  </si>
  <si>
    <t>PLODINE SUPERMARKET</t>
  </si>
  <si>
    <t>18/04/2025</t>
  </si>
  <si>
    <t>19/04/2025</t>
  </si>
  <si>
    <t>Микола Р.</t>
  </si>
  <si>
    <t>462765XXXXXX9899, MIX MARKT DI KARAVAIE.. MONFALCONE</t>
  </si>
  <si>
    <t>20/04/2025</t>
  </si>
  <si>
    <t>Parkirisce P2</t>
  </si>
  <si>
    <t>Fistin D.o.o.</t>
  </si>
  <si>
    <t>22/04/2025</t>
  </si>
  <si>
    <t>Dante Bar</t>
  </si>
  <si>
    <t>23/04/2025</t>
  </si>
  <si>
    <t>Caffe Bar Formula</t>
  </si>
  <si>
    <t>24/04/2025</t>
  </si>
  <si>
    <t>Petrol Pm Rijeka Vez</t>
  </si>
  <si>
    <t>26/04/2025</t>
  </si>
  <si>
    <t>€65 tips, €50 salary, €50 owed</t>
  </si>
  <si>
    <t>28/04/2025</t>
  </si>
  <si>
    <t>Proxywing Invoice 497</t>
  </si>
  <si>
    <t>Restoran Mini</t>
  </si>
  <si>
    <t>29/04/2025</t>
  </si>
  <si>
    <t>Design hotel i restoran Navis</t>
  </si>
  <si>
    <t>Tower Center Rijeka</t>
  </si>
  <si>
    <t>30/04/2025</t>
  </si>
  <si>
    <t>Date</t>
  </si>
  <si>
    <t>Description</t>
  </si>
  <si>
    <t>Sum</t>
  </si>
  <si>
    <t>Category</t>
  </si>
  <si>
    <t>Notes</t>
  </si>
  <si>
    <t>Other</t>
  </si>
  <si>
    <t>Travelling</t>
  </si>
  <si>
    <t>Groceries</t>
  </si>
  <si>
    <t>Transportation</t>
  </si>
  <si>
    <t>Dining &amp; Restoraunts</t>
  </si>
  <si>
    <t>Shopping</t>
  </si>
  <si>
    <t>Home</t>
  </si>
  <si>
    <t>Cash Withdrawals</t>
  </si>
  <si>
    <t>Entertainment &amp; Subscription</t>
  </si>
  <si>
    <t>Education &amp; Studying</t>
  </si>
  <si>
    <t>Investments</t>
  </si>
  <si>
    <t>Total spend</t>
  </si>
  <si>
    <t>Income</t>
  </si>
  <si>
    <t>CASH</t>
  </si>
  <si>
    <t>ERSTE</t>
  </si>
  <si>
    <t>REVOLUT</t>
  </si>
  <si>
    <t>MONOBANK</t>
  </si>
  <si>
    <t>STOCKS INVESTMENTS</t>
  </si>
  <si>
    <t>CRYPTO INVESTMENTS</t>
  </si>
  <si>
    <t>EMERGENCY FUND</t>
  </si>
  <si>
    <t>MOVING OUT FUND</t>
  </si>
  <si>
    <t>SPENT BY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</si>
</sst>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UAH]\ * #,##0.00_);_([$UAH]\ * \(#,##0.00\);_([$UAH]\ * &quot;-&quot;??_);_(@_)"/>
    <numFmt numFmtId="165" formatCode="_([$€-2]\ * #,##0.00_);_([$€-2]\ * \(#,##0.00\);_([$€-2]\ 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Aptos Narrow"/>
      <family val="2"/>
    </font>
    <font>
      <sz val="12"/>
      <color rgb="FF000000"/>
      <name val="Aptos Narrow"/>
      <family val="2"/>
    </font>
    <font>
      <sz val="12"/>
      <color theme="0"/>
      <name val="Aptos Narrow"/>
      <family val="2"/>
    </font>
    <font>
      <sz val="15"/>
      <color rgb="FFFFFFFF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83CCEC"/>
        <bgColor rgb="FF000000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F9ED5"/>
      </left>
      <right style="thin">
        <color rgb="FF0F9ED5"/>
      </right>
      <top/>
      <bottom style="medium">
        <color rgb="FF0F9ED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  <xf numFmtId="0" fontId="4" fillId="0" borderId="0" xfId="0" applyFont="1"/>
    <xf numFmtId="0" fontId="3" fillId="3" borderId="1" xfId="0" applyFont="1" applyFill="1" applyBorder="1"/>
    <xf numFmtId="0" fontId="3" fillId="0" borderId="0" xfId="0" applyFont="1"/>
    <xf numFmtId="0" fontId="3" fillId="3" borderId="3" xfId="0" applyFont="1" applyFill="1" applyBorder="1"/>
    <xf numFmtId="0" fontId="3" fillId="3" borderId="6" xfId="0" applyFont="1" applyFill="1" applyBorder="1"/>
    <xf numFmtId="0" fontId="3" fillId="3" borderId="4" xfId="0" applyFont="1" applyFill="1" applyBorder="1"/>
    <xf numFmtId="0" fontId="3" fillId="3" borderId="8" xfId="0" applyFont="1" applyFill="1" applyBorder="1"/>
    <xf numFmtId="164" fontId="3" fillId="3" borderId="6" xfId="0" applyNumberFormat="1" applyFont="1" applyFill="1" applyBorder="1"/>
    <xf numFmtId="165" fontId="3" fillId="3" borderId="6" xfId="0" applyNumberFormat="1" applyFont="1" applyFill="1" applyBorder="1"/>
    <xf numFmtId="44" fontId="3" fillId="3" borderId="6" xfId="1" applyFont="1" applyFill="1" applyBorder="1"/>
    <xf numFmtId="165" fontId="3" fillId="3" borderId="5" xfId="0" applyNumberFormat="1" applyFont="1" applyFill="1" applyBorder="1"/>
    <xf numFmtId="0" fontId="0" fillId="5" borderId="0" xfId="0" applyFill="1"/>
    <xf numFmtId="0" fontId="5" fillId="4" borderId="7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5">
    <dxf>
      <numFmt numFmtId="2" formatCode="0.00"/>
    </dxf>
    <dxf>
      <numFmt numFmtId="2" formatCode="0.00"/>
    </dxf>
    <dxf>
      <border outline="0">
        <top style="thin">
          <color rgb="FF0F9ED5"/>
        </top>
      </border>
    </dxf>
    <dxf>
      <border outline="0">
        <bottom style="medium">
          <color rgb="FF0F9ED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F9ED5"/>
        </left>
        <right style="thin">
          <color rgb="FF0F9ED5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DD-064D-B254-F2722DB9B5C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DD-064D-B254-F2722DB9B5C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DD-064D-B254-F2722DB9B5C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DD-064D-B254-F2722DB9B5C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4DD-064D-B254-F2722DB9B5C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4DD-064D-B254-F2722DB9B5C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4DD-064D-B254-F2722DB9B5C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4DD-064D-B254-F2722DB9B5CE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4DD-064D-B254-F2722DB9B5CE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4DD-064D-B254-F2722DB9B5CE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4DD-064D-B254-F2722DB9B5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Stats!$A$13:$A$23</c:f>
              <c:strCache>
                <c:ptCount val="11"/>
                <c:pt idx="0">
                  <c:v>Groceries</c:v>
                </c:pt>
                <c:pt idx="1">
                  <c:v>Transportation</c:v>
                </c:pt>
                <c:pt idx="2">
                  <c:v>Dining &amp; Restoraunts</c:v>
                </c:pt>
                <c:pt idx="3">
                  <c:v>Shopping</c:v>
                </c:pt>
                <c:pt idx="4">
                  <c:v>Home</c:v>
                </c:pt>
                <c:pt idx="5">
                  <c:v>Cash Withdrawals</c:v>
                </c:pt>
                <c:pt idx="6">
                  <c:v>Entertainment &amp; Subscription</c:v>
                </c:pt>
                <c:pt idx="7">
                  <c:v>Travelling</c:v>
                </c:pt>
                <c:pt idx="8">
                  <c:v>Education &amp; Studying</c:v>
                </c:pt>
                <c:pt idx="9">
                  <c:v>Investments</c:v>
                </c:pt>
                <c:pt idx="10">
                  <c:v>Other</c:v>
                </c:pt>
              </c:strCache>
            </c:strRef>
          </c:cat>
          <c:val>
            <c:numRef>
              <c:f>Stats!$B$13:$B$23</c:f>
              <c:numCache>
                <c:formatCode>General</c:formatCode>
                <c:ptCount val="11"/>
                <c:pt idx="0">
                  <c:v>-41.849999999999994</c:v>
                </c:pt>
                <c:pt idx="1">
                  <c:v>-23.869999999999997</c:v>
                </c:pt>
                <c:pt idx="2">
                  <c:v>-68.389999999999986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-12.05</c:v>
                </c:pt>
                <c:pt idx="7">
                  <c:v>-70.149999999999991</c:v>
                </c:pt>
                <c:pt idx="8">
                  <c:v>-18.41</c:v>
                </c:pt>
                <c:pt idx="9">
                  <c:v>0</c:v>
                </c:pt>
                <c:pt idx="10">
                  <c:v>-18.41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C-594B-B13C-AE2D5E06106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07"/>
        <c:holeSize val="86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619881</xdr:colOff>
      <xdr:row>1</xdr:row>
      <xdr:rowOff>75595</xdr:rowOff>
    </xdr:from>
    <xdr:to>
      <xdr:col>12</xdr:col>
      <xdr:colOff>619881</xdr:colOff>
      <xdr:row>26</xdr:row>
      <xdr:rowOff>75596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C6404B-7810-7CE7-1BA3-711638F52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3FBB4-81CE-3040-BD3B-311CBAD8E683}" name="Table1" displayName="Table1" ref="A1:E101" totalsRowCount="1" headerRowDxfId="4" headerRowBorderDxfId="3" tableBorderDxfId="2">
  <autoFilter ref="A1:E100" xr:uid="{BF23FBB4-81CE-3040-BD3B-311CBAD8E68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F73006D-A6AA-834E-973E-5E20C38EFB09}" name="Date"/>
    <tableColumn id="2" xr3:uid="{09118A72-D5FA-1D4F-9C8D-6C8CA179E3F1}" name="Description"/>
    <tableColumn id="3" xr3:uid="{D36CD5DC-B670-8C4B-A7BC-E3C4EB3FB5AD}" name="Sum" totalsRowFunction="custom" dataDxfId="1" totalsRowDxfId="0">
      <totalsRowFormula>SUM(Table1[Sum])</totalsRowFormula>
    </tableColumn>
    <tableColumn id="4" xr3:uid="{FF41B410-662D-7248-9013-1476BA66C111}" name="Category"/>
    <tableColumn id="5" xr3:uid="{1AC5AB7B-DA63-D54B-AD0D-1B1FD1D08A41}" name="Notes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opLeftCell="A89" zoomScale="125" workbookViewId="0">
      <selection activeCell="H19" sqref="H19"/>
    </sheetView>
  </sheetViews>
  <sheetFormatPr baseColWidth="10" defaultColWidth="8.83203125" defaultRowHeight="15" x14ac:dyDescent="0.2"/>
  <cols>
    <col min="1" max="1" width="10.5" bestFit="1" customWidth="1"/>
    <col min="2" max="2" width="49.5" bestFit="1" customWidth="1"/>
    <col min="3" max="3" width="21.83203125" customWidth="1"/>
    <col min="4" max="4" width="24.1640625" bestFit="1" customWidth="1"/>
    <col min="5" max="5" width="24" bestFit="1" customWidth="1"/>
    <col min="8" max="8" width="25.6640625" bestFit="1" customWidth="1"/>
  </cols>
  <sheetData>
    <row r="1" spans="1:8" ht="20" thickBot="1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8" x14ac:dyDescent="0.2">
      <c r="A2" t="s">
        <v>0</v>
      </c>
      <c r="B2" t="s">
        <v>1</v>
      </c>
      <c r="C2" s="2">
        <v>-3</v>
      </c>
      <c r="D2" t="s">
        <v>79</v>
      </c>
    </row>
    <row r="3" spans="1:8" x14ac:dyDescent="0.2">
      <c r="A3" t="s">
        <v>0</v>
      </c>
      <c r="B3" t="s">
        <v>2</v>
      </c>
      <c r="C3" s="2">
        <v>-4.8099999999999996</v>
      </c>
      <c r="D3" t="s">
        <v>80</v>
      </c>
    </row>
    <row r="4" spans="1:8" x14ac:dyDescent="0.2">
      <c r="A4" t="s">
        <v>0</v>
      </c>
      <c r="B4" t="s">
        <v>3</v>
      </c>
      <c r="C4" s="2">
        <v>-4.43</v>
      </c>
      <c r="D4" t="s">
        <v>80</v>
      </c>
    </row>
    <row r="5" spans="1:8" ht="16" x14ac:dyDescent="0.2">
      <c r="A5" t="s">
        <v>0</v>
      </c>
      <c r="B5" t="s">
        <v>4</v>
      </c>
      <c r="C5" s="2">
        <v>-1.9</v>
      </c>
      <c r="D5" t="s">
        <v>80</v>
      </c>
      <c r="H5" s="3"/>
    </row>
    <row r="6" spans="1:8" ht="16" x14ac:dyDescent="0.2">
      <c r="A6" t="s">
        <v>0</v>
      </c>
      <c r="B6" t="s">
        <v>5</v>
      </c>
      <c r="C6" s="2">
        <v>-3.05</v>
      </c>
      <c r="D6" t="s">
        <v>80</v>
      </c>
      <c r="H6" s="3"/>
    </row>
    <row r="7" spans="1:8" ht="16" x14ac:dyDescent="0.2">
      <c r="A7" t="s">
        <v>0</v>
      </c>
      <c r="B7" t="s">
        <v>6</v>
      </c>
      <c r="C7" s="2">
        <v>-1.2</v>
      </c>
      <c r="D7" t="s">
        <v>80</v>
      </c>
      <c r="H7" s="3"/>
    </row>
    <row r="8" spans="1:8" ht="16" x14ac:dyDescent="0.2">
      <c r="A8" t="s">
        <v>0</v>
      </c>
      <c r="B8" t="s">
        <v>7</v>
      </c>
      <c r="C8" s="2">
        <v>-5.5</v>
      </c>
      <c r="D8" t="s">
        <v>80</v>
      </c>
      <c r="H8" s="3"/>
    </row>
    <row r="9" spans="1:8" ht="16" x14ac:dyDescent="0.2">
      <c r="A9" t="s">
        <v>0</v>
      </c>
      <c r="B9" t="s">
        <v>8</v>
      </c>
      <c r="C9" s="2">
        <v>-2.12</v>
      </c>
      <c r="D9" t="s">
        <v>80</v>
      </c>
      <c r="H9" s="3"/>
    </row>
    <row r="10" spans="1:8" ht="16" x14ac:dyDescent="0.2">
      <c r="A10" t="s">
        <v>0</v>
      </c>
      <c r="B10" t="s">
        <v>9</v>
      </c>
      <c r="C10" s="2">
        <v>-3.8</v>
      </c>
      <c r="D10" t="s">
        <v>80</v>
      </c>
      <c r="H10" s="3"/>
    </row>
    <row r="11" spans="1:8" ht="16" x14ac:dyDescent="0.2">
      <c r="A11" t="s">
        <v>0</v>
      </c>
      <c r="B11" t="s">
        <v>10</v>
      </c>
      <c r="C11" s="2">
        <v>-3.17</v>
      </c>
      <c r="D11" t="s">
        <v>87</v>
      </c>
      <c r="H11" s="3"/>
    </row>
    <row r="12" spans="1:8" ht="16" x14ac:dyDescent="0.2">
      <c r="A12" t="s">
        <v>11</v>
      </c>
      <c r="B12" t="s">
        <v>12</v>
      </c>
      <c r="C12" s="2">
        <v>-1.1499999999999999</v>
      </c>
      <c r="D12" t="s">
        <v>81</v>
      </c>
      <c r="H12" s="3"/>
    </row>
    <row r="13" spans="1:8" ht="16" x14ac:dyDescent="0.2">
      <c r="A13" t="s">
        <v>11</v>
      </c>
      <c r="B13" t="s">
        <v>13</v>
      </c>
      <c r="C13" s="2">
        <v>-1</v>
      </c>
      <c r="D13" t="s">
        <v>79</v>
      </c>
      <c r="H13" s="3"/>
    </row>
    <row r="14" spans="1:8" ht="16" x14ac:dyDescent="0.2">
      <c r="A14" t="s">
        <v>11</v>
      </c>
      <c r="B14" t="s">
        <v>14</v>
      </c>
      <c r="C14" s="2">
        <v>-0.67</v>
      </c>
      <c r="D14" t="s">
        <v>83</v>
      </c>
      <c r="H14" s="3"/>
    </row>
    <row r="15" spans="1:8" ht="16" x14ac:dyDescent="0.2">
      <c r="A15" t="s">
        <v>11</v>
      </c>
      <c r="B15" t="s">
        <v>15</v>
      </c>
      <c r="C15" s="2">
        <v>-2.6</v>
      </c>
      <c r="D15" t="s">
        <v>83</v>
      </c>
      <c r="H15" s="3"/>
    </row>
    <row r="16" spans="1:8" x14ac:dyDescent="0.2">
      <c r="A16" t="s">
        <v>11</v>
      </c>
      <c r="B16" t="s">
        <v>14</v>
      </c>
      <c r="C16" s="2">
        <v>-1.2</v>
      </c>
      <c r="D16" t="s">
        <v>83</v>
      </c>
    </row>
    <row r="17" spans="1:4" x14ac:dyDescent="0.2">
      <c r="A17" t="s">
        <v>16</v>
      </c>
      <c r="B17" t="s">
        <v>17</v>
      </c>
      <c r="C17" s="2">
        <v>-1.17</v>
      </c>
      <c r="D17" t="s">
        <v>83</v>
      </c>
    </row>
    <row r="18" spans="1:4" x14ac:dyDescent="0.2">
      <c r="A18" t="s">
        <v>16</v>
      </c>
      <c r="B18" t="s">
        <v>18</v>
      </c>
      <c r="C18" s="2">
        <v>-1.47</v>
      </c>
      <c r="D18" t="s">
        <v>81</v>
      </c>
    </row>
    <row r="19" spans="1:4" x14ac:dyDescent="0.2">
      <c r="A19" t="s">
        <v>16</v>
      </c>
      <c r="B19" t="s">
        <v>14</v>
      </c>
      <c r="C19" s="2">
        <v>-1.2</v>
      </c>
      <c r="D19" t="s">
        <v>83</v>
      </c>
    </row>
    <row r="20" spans="1:4" x14ac:dyDescent="0.2">
      <c r="A20" t="s">
        <v>16</v>
      </c>
      <c r="B20" t="s">
        <v>19</v>
      </c>
      <c r="C20" s="2">
        <v>-0.7</v>
      </c>
      <c r="D20" t="s">
        <v>83</v>
      </c>
    </row>
    <row r="21" spans="1:4" x14ac:dyDescent="0.2">
      <c r="A21" t="s">
        <v>16</v>
      </c>
      <c r="B21" t="s">
        <v>20</v>
      </c>
      <c r="C21" s="2">
        <v>-1.97</v>
      </c>
      <c r="D21" t="s">
        <v>82</v>
      </c>
    </row>
    <row r="22" spans="1:4" x14ac:dyDescent="0.2">
      <c r="A22" t="s">
        <v>16</v>
      </c>
      <c r="B22" t="s">
        <v>14</v>
      </c>
      <c r="C22" s="2">
        <v>-0.93</v>
      </c>
      <c r="D22" t="s">
        <v>83</v>
      </c>
    </row>
    <row r="23" spans="1:4" x14ac:dyDescent="0.2">
      <c r="A23" t="s">
        <v>16</v>
      </c>
      <c r="B23" t="s">
        <v>21</v>
      </c>
      <c r="C23" s="2">
        <v>-2.39</v>
      </c>
      <c r="D23" t="s">
        <v>87</v>
      </c>
    </row>
    <row r="24" spans="1:4" x14ac:dyDescent="0.2">
      <c r="A24" t="s">
        <v>16</v>
      </c>
      <c r="B24" t="s">
        <v>20</v>
      </c>
      <c r="C24" s="2">
        <v>-0.22</v>
      </c>
      <c r="D24" t="s">
        <v>82</v>
      </c>
    </row>
    <row r="25" spans="1:4" x14ac:dyDescent="0.2">
      <c r="A25" t="s">
        <v>22</v>
      </c>
      <c r="B25" t="s">
        <v>23</v>
      </c>
      <c r="C25" s="2">
        <v>-0.99</v>
      </c>
      <c r="D25" t="s">
        <v>81</v>
      </c>
    </row>
    <row r="26" spans="1:4" x14ac:dyDescent="0.2">
      <c r="A26" t="s">
        <v>24</v>
      </c>
      <c r="B26" t="s">
        <v>25</v>
      </c>
      <c r="C26" s="2">
        <v>-2.44</v>
      </c>
      <c r="D26" t="s">
        <v>83</v>
      </c>
    </row>
    <row r="27" spans="1:4" x14ac:dyDescent="0.2">
      <c r="A27" t="s">
        <v>24</v>
      </c>
      <c r="B27" t="s">
        <v>26</v>
      </c>
      <c r="C27" s="2">
        <v>-14.65</v>
      </c>
      <c r="D27" t="s">
        <v>82</v>
      </c>
    </row>
    <row r="28" spans="1:4" x14ac:dyDescent="0.2">
      <c r="A28" t="s">
        <v>24</v>
      </c>
      <c r="B28" t="s">
        <v>17</v>
      </c>
      <c r="C28" s="2">
        <v>-1.37</v>
      </c>
      <c r="D28" t="s">
        <v>83</v>
      </c>
    </row>
    <row r="29" spans="1:4" x14ac:dyDescent="0.2">
      <c r="A29" t="s">
        <v>24</v>
      </c>
      <c r="B29" t="s">
        <v>27</v>
      </c>
      <c r="C29" s="2">
        <v>-2.17</v>
      </c>
      <c r="D29" t="s">
        <v>82</v>
      </c>
    </row>
    <row r="30" spans="1:4" x14ac:dyDescent="0.2">
      <c r="A30" t="s">
        <v>24</v>
      </c>
      <c r="B30" t="s">
        <v>28</v>
      </c>
      <c r="C30" s="2">
        <v>2.1800000000000002</v>
      </c>
      <c r="D30" t="s">
        <v>82</v>
      </c>
    </row>
    <row r="31" spans="1:4" x14ac:dyDescent="0.2">
      <c r="A31" t="s">
        <v>29</v>
      </c>
      <c r="B31" t="s">
        <v>17</v>
      </c>
      <c r="C31" s="2">
        <v>-1.04</v>
      </c>
      <c r="D31" t="s">
        <v>83</v>
      </c>
    </row>
    <row r="32" spans="1:4" x14ac:dyDescent="0.2">
      <c r="A32" t="s">
        <v>29</v>
      </c>
      <c r="B32" t="s">
        <v>30</v>
      </c>
      <c r="C32" s="2">
        <v>-0.63</v>
      </c>
      <c r="D32" t="s">
        <v>83</v>
      </c>
    </row>
    <row r="33" spans="1:4" x14ac:dyDescent="0.2">
      <c r="A33" t="s">
        <v>29</v>
      </c>
      <c r="B33" t="s">
        <v>17</v>
      </c>
      <c r="C33" s="2">
        <v>-1.44</v>
      </c>
      <c r="D33" t="s">
        <v>83</v>
      </c>
    </row>
    <row r="34" spans="1:4" x14ac:dyDescent="0.2">
      <c r="A34" t="s">
        <v>31</v>
      </c>
      <c r="B34" t="s">
        <v>17</v>
      </c>
      <c r="C34" s="2">
        <v>-1.18</v>
      </c>
      <c r="D34" t="s">
        <v>83</v>
      </c>
    </row>
    <row r="35" spans="1:4" x14ac:dyDescent="0.2">
      <c r="A35" t="s">
        <v>32</v>
      </c>
      <c r="B35" t="s">
        <v>14</v>
      </c>
      <c r="C35" s="2">
        <v>-1.8</v>
      </c>
      <c r="D35" t="s">
        <v>83</v>
      </c>
    </row>
    <row r="36" spans="1:4" x14ac:dyDescent="0.2">
      <c r="A36" t="s">
        <v>32</v>
      </c>
      <c r="B36" t="s">
        <v>14</v>
      </c>
      <c r="C36" s="2">
        <v>-0.49</v>
      </c>
      <c r="D36" t="s">
        <v>83</v>
      </c>
    </row>
    <row r="37" spans="1:4" x14ac:dyDescent="0.2">
      <c r="A37" t="s">
        <v>33</v>
      </c>
      <c r="B37" t="s">
        <v>34</v>
      </c>
      <c r="C37" s="2">
        <v>-0.81</v>
      </c>
      <c r="D37" t="s">
        <v>83</v>
      </c>
    </row>
    <row r="38" spans="1:4" x14ac:dyDescent="0.2">
      <c r="A38" t="s">
        <v>33</v>
      </c>
      <c r="B38" t="s">
        <v>35</v>
      </c>
      <c r="C38" s="2">
        <v>-1.98</v>
      </c>
      <c r="D38" t="s">
        <v>81</v>
      </c>
    </row>
    <row r="39" spans="1:4" x14ac:dyDescent="0.2">
      <c r="A39" t="s">
        <v>33</v>
      </c>
      <c r="B39" t="s">
        <v>36</v>
      </c>
      <c r="C39" s="2">
        <v>-1.39</v>
      </c>
      <c r="D39" t="s">
        <v>82</v>
      </c>
    </row>
    <row r="40" spans="1:4" x14ac:dyDescent="0.2">
      <c r="A40" t="s">
        <v>33</v>
      </c>
      <c r="B40" t="s">
        <v>36</v>
      </c>
      <c r="C40" s="2">
        <v>-0.61</v>
      </c>
      <c r="D40" t="s">
        <v>82</v>
      </c>
    </row>
    <row r="41" spans="1:4" x14ac:dyDescent="0.2">
      <c r="A41" t="s">
        <v>33</v>
      </c>
      <c r="B41" t="s">
        <v>14</v>
      </c>
      <c r="C41" s="2">
        <v>-1.4</v>
      </c>
      <c r="D41" t="s">
        <v>83</v>
      </c>
    </row>
    <row r="42" spans="1:4" x14ac:dyDescent="0.2">
      <c r="A42" t="s">
        <v>37</v>
      </c>
      <c r="B42" t="s">
        <v>14</v>
      </c>
      <c r="C42" s="2">
        <v>-0.89</v>
      </c>
      <c r="D42" t="s">
        <v>83</v>
      </c>
    </row>
    <row r="43" spans="1:4" x14ac:dyDescent="0.2">
      <c r="A43" t="s">
        <v>37</v>
      </c>
      <c r="B43" t="s">
        <v>14</v>
      </c>
      <c r="C43" s="2">
        <v>-1.05</v>
      </c>
      <c r="D43" t="s">
        <v>83</v>
      </c>
    </row>
    <row r="44" spans="1:4" x14ac:dyDescent="0.2">
      <c r="A44" t="s">
        <v>37</v>
      </c>
      <c r="B44" t="s">
        <v>21</v>
      </c>
      <c r="C44" s="2">
        <v>-6.49</v>
      </c>
      <c r="D44" t="s">
        <v>87</v>
      </c>
    </row>
    <row r="45" spans="1:4" x14ac:dyDescent="0.2">
      <c r="A45" t="s">
        <v>38</v>
      </c>
      <c r="B45" t="s">
        <v>39</v>
      </c>
      <c r="C45" s="2">
        <v>-2.0499999999999998</v>
      </c>
      <c r="D45" t="s">
        <v>81</v>
      </c>
    </row>
    <row r="46" spans="1:4" x14ac:dyDescent="0.2">
      <c r="A46" t="s">
        <v>40</v>
      </c>
      <c r="B46" t="s">
        <v>12</v>
      </c>
      <c r="C46" s="2">
        <v>-9.5</v>
      </c>
      <c r="D46" t="s">
        <v>81</v>
      </c>
    </row>
    <row r="47" spans="1:4" x14ac:dyDescent="0.2">
      <c r="A47" t="s">
        <v>40</v>
      </c>
      <c r="B47" t="s">
        <v>41</v>
      </c>
      <c r="C47" s="2">
        <v>80</v>
      </c>
      <c r="D47" t="s">
        <v>91</v>
      </c>
    </row>
    <row r="48" spans="1:4" x14ac:dyDescent="0.2">
      <c r="A48" t="s">
        <v>40</v>
      </c>
      <c r="B48" t="s">
        <v>42</v>
      </c>
      <c r="C48" s="2">
        <v>-4</v>
      </c>
      <c r="D48" t="s">
        <v>81</v>
      </c>
    </row>
    <row r="49" spans="1:4" x14ac:dyDescent="0.2">
      <c r="A49" t="s">
        <v>43</v>
      </c>
      <c r="B49" t="s">
        <v>14</v>
      </c>
      <c r="C49" s="2">
        <v>-1</v>
      </c>
      <c r="D49" t="s">
        <v>83</v>
      </c>
    </row>
    <row r="50" spans="1:4" x14ac:dyDescent="0.2">
      <c r="A50" t="s">
        <v>43</v>
      </c>
      <c r="B50" t="s">
        <v>14</v>
      </c>
      <c r="C50" s="2">
        <v>-1.59</v>
      </c>
      <c r="D50" t="s">
        <v>83</v>
      </c>
    </row>
    <row r="51" spans="1:4" x14ac:dyDescent="0.2">
      <c r="A51" t="s">
        <v>43</v>
      </c>
      <c r="B51" t="s">
        <v>14</v>
      </c>
      <c r="C51" s="2">
        <v>-0.93</v>
      </c>
      <c r="D51" t="s">
        <v>83</v>
      </c>
    </row>
    <row r="52" spans="1:4" x14ac:dyDescent="0.2">
      <c r="A52" t="s">
        <v>43</v>
      </c>
      <c r="B52" t="s">
        <v>44</v>
      </c>
      <c r="C52" s="2">
        <v>-2.2999999999999998</v>
      </c>
      <c r="D52" t="s">
        <v>83</v>
      </c>
    </row>
    <row r="53" spans="1:4" x14ac:dyDescent="0.2">
      <c r="A53" t="s">
        <v>43</v>
      </c>
      <c r="B53" t="s">
        <v>14</v>
      </c>
      <c r="C53" s="2">
        <v>-1.35</v>
      </c>
      <c r="D53" t="s">
        <v>83</v>
      </c>
    </row>
    <row r="54" spans="1:4" x14ac:dyDescent="0.2">
      <c r="A54" t="s">
        <v>43</v>
      </c>
      <c r="B54" t="s">
        <v>14</v>
      </c>
      <c r="C54" s="2">
        <v>-0.19</v>
      </c>
      <c r="D54" t="s">
        <v>83</v>
      </c>
    </row>
    <row r="55" spans="1:4" x14ac:dyDescent="0.2">
      <c r="A55" t="s">
        <v>45</v>
      </c>
      <c r="B55" t="s">
        <v>14</v>
      </c>
      <c r="C55" s="2">
        <v>-1.6</v>
      </c>
      <c r="D55" t="s">
        <v>83</v>
      </c>
    </row>
    <row r="56" spans="1:4" x14ac:dyDescent="0.2">
      <c r="A56" t="s">
        <v>45</v>
      </c>
      <c r="B56" t="s">
        <v>44</v>
      </c>
      <c r="C56" s="2">
        <v>-2.2999999999999998</v>
      </c>
      <c r="D56" t="s">
        <v>83</v>
      </c>
    </row>
    <row r="57" spans="1:4" x14ac:dyDescent="0.2">
      <c r="A57" t="s">
        <v>46</v>
      </c>
      <c r="B57" t="s">
        <v>14</v>
      </c>
      <c r="C57" s="2">
        <v>-1.18</v>
      </c>
      <c r="D57" t="s">
        <v>83</v>
      </c>
    </row>
    <row r="58" spans="1:4" x14ac:dyDescent="0.2">
      <c r="A58" t="s">
        <v>46</v>
      </c>
      <c r="B58" t="s">
        <v>47</v>
      </c>
      <c r="C58" s="2">
        <v>-3.01</v>
      </c>
      <c r="D58" t="s">
        <v>83</v>
      </c>
    </row>
    <row r="59" spans="1:4" x14ac:dyDescent="0.2">
      <c r="A59" t="s">
        <v>46</v>
      </c>
      <c r="B59" t="s">
        <v>48</v>
      </c>
      <c r="C59" s="2">
        <v>-10.52</v>
      </c>
      <c r="D59" t="s">
        <v>88</v>
      </c>
    </row>
    <row r="60" spans="1:4" x14ac:dyDescent="0.2">
      <c r="A60" t="s">
        <v>46</v>
      </c>
      <c r="B60" t="s">
        <v>14</v>
      </c>
      <c r="C60" s="2">
        <v>-0.59</v>
      </c>
      <c r="D60" t="s">
        <v>83</v>
      </c>
    </row>
    <row r="61" spans="1:4" x14ac:dyDescent="0.2">
      <c r="A61" t="s">
        <v>46</v>
      </c>
      <c r="B61" t="s">
        <v>14</v>
      </c>
      <c r="C61" s="2">
        <v>-0.49</v>
      </c>
      <c r="D61" t="s">
        <v>83</v>
      </c>
    </row>
    <row r="62" spans="1:4" x14ac:dyDescent="0.2">
      <c r="A62" t="s">
        <v>46</v>
      </c>
      <c r="B62" t="s">
        <v>49</v>
      </c>
      <c r="C62" s="2">
        <v>-2.4</v>
      </c>
      <c r="D62" t="s">
        <v>81</v>
      </c>
    </row>
    <row r="63" spans="1:4" x14ac:dyDescent="0.2">
      <c r="A63" t="s">
        <v>46</v>
      </c>
      <c r="B63" t="s">
        <v>12</v>
      </c>
      <c r="C63" s="2">
        <v>-2.04</v>
      </c>
      <c r="D63" t="s">
        <v>81</v>
      </c>
    </row>
    <row r="64" spans="1:4" x14ac:dyDescent="0.2">
      <c r="A64" t="s">
        <v>50</v>
      </c>
      <c r="B64" t="s">
        <v>51</v>
      </c>
      <c r="C64" s="2">
        <v>-1.89</v>
      </c>
      <c r="D64" t="s">
        <v>81</v>
      </c>
    </row>
    <row r="65" spans="1:4" x14ac:dyDescent="0.2">
      <c r="A65" t="s">
        <v>50</v>
      </c>
      <c r="B65" t="s">
        <v>14</v>
      </c>
      <c r="C65" s="2">
        <v>-0.94</v>
      </c>
      <c r="D65" t="s">
        <v>83</v>
      </c>
    </row>
    <row r="66" spans="1:4" x14ac:dyDescent="0.2">
      <c r="A66" t="s">
        <v>52</v>
      </c>
      <c r="B66" t="s">
        <v>34</v>
      </c>
      <c r="C66" s="2">
        <v>-1.47</v>
      </c>
      <c r="D66" t="s">
        <v>83</v>
      </c>
    </row>
    <row r="67" spans="1:4" x14ac:dyDescent="0.2">
      <c r="A67" t="s">
        <v>52</v>
      </c>
      <c r="B67" t="s">
        <v>49</v>
      </c>
      <c r="C67" s="2">
        <v>-1.17</v>
      </c>
      <c r="D67" t="s">
        <v>81</v>
      </c>
    </row>
    <row r="68" spans="1:4" x14ac:dyDescent="0.2">
      <c r="A68" t="s">
        <v>53</v>
      </c>
      <c r="B68" t="s">
        <v>54</v>
      </c>
      <c r="C68" s="2">
        <v>-17.45</v>
      </c>
      <c r="D68" t="s">
        <v>80</v>
      </c>
    </row>
    <row r="69" spans="1:4" x14ac:dyDescent="0.2">
      <c r="A69" t="s">
        <v>53</v>
      </c>
      <c r="B69" t="s">
        <v>12</v>
      </c>
      <c r="C69" s="2">
        <v>-3.13</v>
      </c>
      <c r="D69" t="s">
        <v>81</v>
      </c>
    </row>
    <row r="70" spans="1:4" x14ac:dyDescent="0.2">
      <c r="A70" t="s">
        <v>53</v>
      </c>
      <c r="B70" t="s">
        <v>12</v>
      </c>
      <c r="C70" s="2">
        <v>-3</v>
      </c>
      <c r="D70" t="s">
        <v>81</v>
      </c>
    </row>
    <row r="71" spans="1:4" x14ac:dyDescent="0.2">
      <c r="A71" t="s">
        <v>53</v>
      </c>
      <c r="B71" t="s">
        <v>35</v>
      </c>
      <c r="C71" s="2">
        <v>-2.19</v>
      </c>
      <c r="D71" t="s">
        <v>81</v>
      </c>
    </row>
    <row r="72" spans="1:4" x14ac:dyDescent="0.2">
      <c r="A72" t="s">
        <v>53</v>
      </c>
      <c r="B72" t="s">
        <v>55</v>
      </c>
      <c r="C72" s="2">
        <v>-19.989999999999998</v>
      </c>
      <c r="D72" t="s">
        <v>80</v>
      </c>
    </row>
    <row r="73" spans="1:4" x14ac:dyDescent="0.2">
      <c r="A73" t="s">
        <v>56</v>
      </c>
      <c r="B73" t="s">
        <v>57</v>
      </c>
      <c r="C73" s="2">
        <v>-2.7</v>
      </c>
      <c r="D73" t="s">
        <v>80</v>
      </c>
    </row>
    <row r="74" spans="1:4" x14ac:dyDescent="0.2">
      <c r="A74" t="s">
        <v>56</v>
      </c>
      <c r="B74" t="s">
        <v>58</v>
      </c>
      <c r="C74" s="2">
        <v>-1.6</v>
      </c>
      <c r="D74" t="s">
        <v>80</v>
      </c>
    </row>
    <row r="75" spans="1:4" x14ac:dyDescent="0.2">
      <c r="A75" t="s">
        <v>56</v>
      </c>
      <c r="B75" t="s">
        <v>58</v>
      </c>
      <c r="C75" s="2">
        <v>-1.6</v>
      </c>
      <c r="D75" t="s">
        <v>80</v>
      </c>
    </row>
    <row r="76" spans="1:4" x14ac:dyDescent="0.2">
      <c r="A76" t="s">
        <v>59</v>
      </c>
      <c r="B76" t="s">
        <v>17</v>
      </c>
      <c r="C76" s="2">
        <v>-1.38</v>
      </c>
      <c r="D76" t="s">
        <v>83</v>
      </c>
    </row>
    <row r="77" spans="1:4" x14ac:dyDescent="0.2">
      <c r="A77" t="s">
        <v>59</v>
      </c>
      <c r="B77" t="s">
        <v>60</v>
      </c>
      <c r="C77" s="2">
        <v>-3.2</v>
      </c>
      <c r="D77" t="s">
        <v>83</v>
      </c>
    </row>
    <row r="78" spans="1:4" x14ac:dyDescent="0.2">
      <c r="A78" t="s">
        <v>59</v>
      </c>
      <c r="B78" t="s">
        <v>34</v>
      </c>
      <c r="C78" s="2">
        <v>-1.18</v>
      </c>
      <c r="D78" t="s">
        <v>83</v>
      </c>
    </row>
    <row r="79" spans="1:4" x14ac:dyDescent="0.2">
      <c r="A79" t="s">
        <v>59</v>
      </c>
      <c r="B79" t="s">
        <v>14</v>
      </c>
      <c r="C79" s="2">
        <v>-0.19</v>
      </c>
      <c r="D79" t="s">
        <v>83</v>
      </c>
    </row>
    <row r="80" spans="1:4" x14ac:dyDescent="0.2">
      <c r="A80" t="s">
        <v>61</v>
      </c>
      <c r="B80" t="s">
        <v>62</v>
      </c>
      <c r="C80" s="2">
        <v>-1.35</v>
      </c>
      <c r="D80" t="s">
        <v>83</v>
      </c>
    </row>
    <row r="81" spans="1:5" x14ac:dyDescent="0.2">
      <c r="A81" t="s">
        <v>61</v>
      </c>
      <c r="B81" t="s">
        <v>14</v>
      </c>
      <c r="C81" s="2">
        <v>-1.51</v>
      </c>
      <c r="D81" t="s">
        <v>83</v>
      </c>
    </row>
    <row r="82" spans="1:5" x14ac:dyDescent="0.2">
      <c r="A82" t="s">
        <v>61</v>
      </c>
      <c r="B82" t="s">
        <v>14</v>
      </c>
      <c r="C82" s="2">
        <v>-1.05</v>
      </c>
      <c r="D82" t="s">
        <v>83</v>
      </c>
    </row>
    <row r="83" spans="1:5" x14ac:dyDescent="0.2">
      <c r="A83" t="s">
        <v>63</v>
      </c>
      <c r="B83" t="s">
        <v>14</v>
      </c>
      <c r="C83" s="2">
        <v>-0.98</v>
      </c>
      <c r="D83" t="s">
        <v>83</v>
      </c>
    </row>
    <row r="84" spans="1:5" x14ac:dyDescent="0.2">
      <c r="A84" t="s">
        <v>63</v>
      </c>
      <c r="B84" t="s">
        <v>35</v>
      </c>
      <c r="C84" s="2">
        <v>-2.31</v>
      </c>
      <c r="D84" t="s">
        <v>81</v>
      </c>
    </row>
    <row r="85" spans="1:5" x14ac:dyDescent="0.2">
      <c r="A85" t="s">
        <v>63</v>
      </c>
      <c r="B85" t="s">
        <v>14</v>
      </c>
      <c r="C85" s="2">
        <v>-1.17</v>
      </c>
      <c r="D85" t="s">
        <v>83</v>
      </c>
    </row>
    <row r="86" spans="1:5" x14ac:dyDescent="0.2">
      <c r="A86" t="s">
        <v>63</v>
      </c>
      <c r="B86" t="s">
        <v>60</v>
      </c>
      <c r="C86" s="2">
        <v>-2</v>
      </c>
      <c r="D86" t="s">
        <v>83</v>
      </c>
    </row>
    <row r="87" spans="1:5" x14ac:dyDescent="0.2">
      <c r="A87" t="s">
        <v>65</v>
      </c>
      <c r="B87" t="s">
        <v>13</v>
      </c>
      <c r="C87" s="2">
        <v>-2</v>
      </c>
      <c r="D87" t="s">
        <v>79</v>
      </c>
    </row>
    <row r="88" spans="1:5" x14ac:dyDescent="0.2">
      <c r="A88" t="s">
        <v>65</v>
      </c>
      <c r="B88" t="s">
        <v>41</v>
      </c>
      <c r="C88" s="2">
        <v>170</v>
      </c>
      <c r="D88" t="s">
        <v>91</v>
      </c>
      <c r="E88" t="s">
        <v>66</v>
      </c>
    </row>
    <row r="89" spans="1:5" x14ac:dyDescent="0.2">
      <c r="A89" t="s">
        <v>67</v>
      </c>
      <c r="B89" t="s">
        <v>68</v>
      </c>
      <c r="C89" s="2">
        <v>-2.41</v>
      </c>
      <c r="D89" t="s">
        <v>79</v>
      </c>
    </row>
    <row r="90" spans="1:5" x14ac:dyDescent="0.2">
      <c r="A90" t="s">
        <v>67</v>
      </c>
      <c r="B90" t="s">
        <v>13</v>
      </c>
      <c r="C90" s="2">
        <v>-10</v>
      </c>
      <c r="D90" t="s">
        <v>79</v>
      </c>
    </row>
    <row r="91" spans="1:5" x14ac:dyDescent="0.2">
      <c r="A91" t="s">
        <v>67</v>
      </c>
      <c r="B91" t="s">
        <v>62</v>
      </c>
      <c r="C91" s="2">
        <v>-2.5499999999999998</v>
      </c>
      <c r="D91" t="s">
        <v>83</v>
      </c>
    </row>
    <row r="92" spans="1:5" x14ac:dyDescent="0.2">
      <c r="A92" t="s">
        <v>67</v>
      </c>
      <c r="B92" t="s">
        <v>69</v>
      </c>
      <c r="C92" s="2">
        <v>-0.69</v>
      </c>
      <c r="D92" t="s">
        <v>83</v>
      </c>
    </row>
    <row r="93" spans="1:5" x14ac:dyDescent="0.2">
      <c r="A93" t="s">
        <v>67</v>
      </c>
      <c r="B93" t="s">
        <v>14</v>
      </c>
      <c r="C93" s="2">
        <v>-1.28</v>
      </c>
      <c r="D93" t="s">
        <v>83</v>
      </c>
    </row>
    <row r="94" spans="1:5" x14ac:dyDescent="0.2">
      <c r="A94" t="s">
        <v>67</v>
      </c>
      <c r="B94" t="s">
        <v>62</v>
      </c>
      <c r="C94" s="2">
        <v>-1.35</v>
      </c>
      <c r="D94" t="s">
        <v>83</v>
      </c>
    </row>
    <row r="95" spans="1:5" x14ac:dyDescent="0.2">
      <c r="A95" t="s">
        <v>70</v>
      </c>
      <c r="B95" t="s">
        <v>71</v>
      </c>
      <c r="C95" s="2">
        <v>-4.25</v>
      </c>
      <c r="D95" t="s">
        <v>83</v>
      </c>
    </row>
    <row r="96" spans="1:5" x14ac:dyDescent="0.2">
      <c r="A96" t="s">
        <v>70</v>
      </c>
      <c r="B96" t="s">
        <v>23</v>
      </c>
      <c r="C96" s="2">
        <v>-2.58</v>
      </c>
      <c r="D96" t="s">
        <v>81</v>
      </c>
    </row>
    <row r="97" spans="1:4" x14ac:dyDescent="0.2">
      <c r="A97" t="s">
        <v>70</v>
      </c>
      <c r="B97" t="s">
        <v>14</v>
      </c>
      <c r="C97" s="2">
        <v>-1.24</v>
      </c>
      <c r="D97" t="s">
        <v>83</v>
      </c>
    </row>
    <row r="98" spans="1:4" x14ac:dyDescent="0.2">
      <c r="A98" t="s">
        <v>70</v>
      </c>
      <c r="B98" t="s">
        <v>64</v>
      </c>
      <c r="C98" s="2">
        <v>-5.04</v>
      </c>
      <c r="D98" t="s">
        <v>82</v>
      </c>
    </row>
    <row r="99" spans="1:4" x14ac:dyDescent="0.2">
      <c r="A99" t="s">
        <v>70</v>
      </c>
      <c r="B99" t="s">
        <v>72</v>
      </c>
      <c r="C99" s="2">
        <v>-7.89</v>
      </c>
      <c r="D99" t="s">
        <v>88</v>
      </c>
    </row>
    <row r="100" spans="1:4" x14ac:dyDescent="0.2">
      <c r="A100" t="s">
        <v>73</v>
      </c>
      <c r="B100" t="s">
        <v>14</v>
      </c>
      <c r="C100" s="2">
        <v>-1.07</v>
      </c>
      <c r="D100" t="s">
        <v>83</v>
      </c>
    </row>
    <row r="101" spans="1:4" x14ac:dyDescent="0.2">
      <c r="C101" s="2">
        <f>SUM(Table1[Sum])</f>
        <v>-3.1299999999999741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1349-C4AE-1C49-8973-3F48B3F4F263}">
  <dimension ref="A1:B27"/>
  <sheetViews>
    <sheetView tabSelected="1" topLeftCell="A2" workbookViewId="0">
      <selection activeCell="N35" sqref="N35"/>
    </sheetView>
  </sheetViews>
  <sheetFormatPr baseColWidth="10" defaultRowHeight="15" x14ac:dyDescent="0.2"/>
  <cols>
    <col min="1" max="1" width="25.1640625" bestFit="1" customWidth="1"/>
    <col min="2" max="2" width="12.5" bestFit="1" customWidth="1"/>
  </cols>
  <sheetData>
    <row r="1" spans="1:2" ht="16" x14ac:dyDescent="0.2">
      <c r="A1" s="4" t="s">
        <v>92</v>
      </c>
      <c r="B1" s="13">
        <v>20</v>
      </c>
    </row>
    <row r="2" spans="1:2" ht="16" x14ac:dyDescent="0.2">
      <c r="A2" s="6" t="s">
        <v>93</v>
      </c>
      <c r="B2" s="11">
        <v>1</v>
      </c>
    </row>
    <row r="3" spans="1:2" ht="16" x14ac:dyDescent="0.2">
      <c r="A3" s="6" t="s">
        <v>94</v>
      </c>
      <c r="B3" s="11">
        <v>2</v>
      </c>
    </row>
    <row r="4" spans="1:2" ht="16" x14ac:dyDescent="0.2">
      <c r="A4" s="6" t="s">
        <v>95</v>
      </c>
      <c r="B4" s="10">
        <v>-734</v>
      </c>
    </row>
    <row r="5" spans="1:2" ht="16" x14ac:dyDescent="0.2">
      <c r="A5" s="6"/>
      <c r="B5" s="7"/>
    </row>
    <row r="6" spans="1:2" ht="16" x14ac:dyDescent="0.2">
      <c r="A6" s="6" t="s">
        <v>96</v>
      </c>
      <c r="B6" s="11">
        <v>145</v>
      </c>
    </row>
    <row r="7" spans="1:2" ht="16" x14ac:dyDescent="0.2">
      <c r="A7" s="6" t="s">
        <v>97</v>
      </c>
      <c r="B7" s="12">
        <v>683</v>
      </c>
    </row>
    <row r="8" spans="1:2" ht="16" x14ac:dyDescent="0.2">
      <c r="A8" s="6" t="s">
        <v>98</v>
      </c>
      <c r="B8" s="11">
        <v>330</v>
      </c>
    </row>
    <row r="9" spans="1:2" ht="16" x14ac:dyDescent="0.2">
      <c r="A9" s="6" t="s">
        <v>99</v>
      </c>
      <c r="B9" s="11">
        <v>84</v>
      </c>
    </row>
    <row r="10" spans="1:2" ht="16" x14ac:dyDescent="0.2">
      <c r="A10" s="5"/>
      <c r="B10" s="5"/>
    </row>
    <row r="11" spans="1:2" ht="16" x14ac:dyDescent="0.2">
      <c r="A11" s="5"/>
      <c r="B11" s="5"/>
    </row>
    <row r="12" spans="1:2" ht="20" x14ac:dyDescent="0.25">
      <c r="A12" s="15" t="s">
        <v>100</v>
      </c>
      <c r="B12" s="15"/>
    </row>
    <row r="13" spans="1:2" ht="16" x14ac:dyDescent="0.2">
      <c r="A13" s="6" t="s">
        <v>81</v>
      </c>
      <c r="B13" s="7">
        <f>SUMIF(Table1[Category],Stats!A13,Table1[Sum])</f>
        <v>-41.849999999999994</v>
      </c>
    </row>
    <row r="14" spans="1:2" ht="16" x14ac:dyDescent="0.2">
      <c r="A14" s="6" t="s">
        <v>82</v>
      </c>
      <c r="B14" s="7">
        <f>SUMIF(Table1[Category],Stats!A14,Table1[Sum])</f>
        <v>-23.869999999999997</v>
      </c>
    </row>
    <row r="15" spans="1:2" ht="16" x14ac:dyDescent="0.2">
      <c r="A15" s="6" t="s">
        <v>83</v>
      </c>
      <c r="B15" s="7">
        <f>SUMIF(Table1[Category],Stats!A15,Table1[Sum])</f>
        <v>-68.389999999999986</v>
      </c>
    </row>
    <row r="16" spans="1:2" ht="16" x14ac:dyDescent="0.2">
      <c r="A16" s="6" t="s">
        <v>84</v>
      </c>
      <c r="B16" s="7">
        <f>SUMIF(Table1[Category],Stats!A16,Table1[Sum])</f>
        <v>0</v>
      </c>
    </row>
    <row r="17" spans="1:2" ht="16" x14ac:dyDescent="0.2">
      <c r="A17" s="6" t="s">
        <v>85</v>
      </c>
      <c r="B17" s="7">
        <f>SUMIF(Table1[Category],Stats!A17,Table1[Sum])</f>
        <v>0</v>
      </c>
    </row>
    <row r="18" spans="1:2" ht="16" x14ac:dyDescent="0.2">
      <c r="A18" s="6" t="s">
        <v>86</v>
      </c>
      <c r="B18" s="7">
        <f>SUMIF(Table1[Category],Stats!A18,Table1[Sum])</f>
        <v>0</v>
      </c>
    </row>
    <row r="19" spans="1:2" ht="16" x14ac:dyDescent="0.2">
      <c r="A19" s="6" t="s">
        <v>87</v>
      </c>
      <c r="B19" s="7">
        <f>SUMIF(Table1[Category],Stats!A19,Table1[Sum])</f>
        <v>-12.05</v>
      </c>
    </row>
    <row r="20" spans="1:2" ht="16" x14ac:dyDescent="0.2">
      <c r="A20" s="6" t="s">
        <v>80</v>
      </c>
      <c r="B20" s="7">
        <f>SUMIF(Table1[Category],Stats!A20,Table1[Sum])</f>
        <v>-70.149999999999991</v>
      </c>
    </row>
    <row r="21" spans="1:2" ht="16" x14ac:dyDescent="0.2">
      <c r="A21" s="6" t="s">
        <v>88</v>
      </c>
      <c r="B21" s="7">
        <f>SUMIF(Table1[Category],Stats!A21,Table1[Sum])</f>
        <v>-18.41</v>
      </c>
    </row>
    <row r="22" spans="1:2" ht="16" x14ac:dyDescent="0.2">
      <c r="A22" s="6" t="s">
        <v>89</v>
      </c>
      <c r="B22" s="7">
        <f>SUMIF(Table1[Category],Stats!A22,Table1[Sum])</f>
        <v>0</v>
      </c>
    </row>
    <row r="23" spans="1:2" ht="16" x14ac:dyDescent="0.2">
      <c r="A23" s="6" t="s">
        <v>79</v>
      </c>
      <c r="B23" s="7">
        <f>SUMIF(Table1[Category],Stats!A23,Table1[Sum])</f>
        <v>-18.41</v>
      </c>
    </row>
    <row r="24" spans="1:2" ht="16" x14ac:dyDescent="0.2">
      <c r="A24" s="8" t="s">
        <v>90</v>
      </c>
      <c r="B24" s="9">
        <f>SUM(B13:B23)</f>
        <v>-253.13</v>
      </c>
    </row>
    <row r="25" spans="1:2" ht="16" x14ac:dyDescent="0.2">
      <c r="A25" s="16"/>
      <c r="B25" s="17"/>
    </row>
    <row r="26" spans="1:2" ht="16" x14ac:dyDescent="0.2">
      <c r="A26" s="6" t="s">
        <v>91</v>
      </c>
      <c r="B26" s="7">
        <f>SUMIF(Table1[Category],Stats!A26,Table1[Sum])</f>
        <v>250</v>
      </c>
    </row>
    <row r="27" spans="1:2" x14ac:dyDescent="0.2">
      <c r="B27" s="14">
        <f>SUM(B24,B26)</f>
        <v>-3.1299999999999955</v>
      </c>
    </row>
  </sheetData>
  <mergeCells count="2">
    <mergeCell ref="A12:B12"/>
    <mergeCell ref="A25:B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Dmytro Semeniuk</cp:lastModifiedBy>
  <dcterms:created xsi:type="dcterms:W3CDTF">2025-05-03T08:23:51Z</dcterms:created>
  <dcterms:modified xsi:type="dcterms:W3CDTF">2025-05-04T07:16:31Z</dcterms:modified>
</cp:coreProperties>
</file>