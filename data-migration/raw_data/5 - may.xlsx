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raw_data/"/>
    </mc:Choice>
  </mc:AlternateContent>
  <xr:revisionPtr revIDLastSave="0" documentId="13_ncr:1_{A80F894D-9F74-764F-847E-8F242838FFF4}" xr6:coauthVersionLast="47" xr6:coauthVersionMax="47" xr10:uidLastSave="{00000000-0000-0000-0000-000000000000}"/>
  <bookViews>
    <workbookView xWindow="0" yWindow="700" windowWidth="27040" windowHeight="15060" xr2:uid="{00000000-000D-0000-FFFF-FFFF00000000}"/>
  </bookViews>
  <sheets>
    <sheet name="Transactions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2" i="2"/>
  <c r="B23" i="2"/>
  <c r="B21" i="2"/>
  <c r="B20" i="2"/>
  <c r="B19" i="2"/>
  <c r="B18" i="2"/>
  <c r="B17" i="2"/>
  <c r="B16" i="2"/>
  <c r="B15" i="2"/>
  <c r="B14" i="2"/>
  <c r="B13" i="2"/>
  <c r="B24" i="2" l="1"/>
  <c r="B27" i="2" s="1"/>
</calcChain>
</file>

<file path=xl/sharedStrings.xml><?xml version="1.0" encoding="utf-8"?>
<sst xmlns="http://schemas.openxmlformats.org/spreadsheetml/2006/main" count="274" uniqueCount="95">
  <si>
    <t>txn_date</t>
  </si>
  <si>
    <t>description</t>
  </si>
  <si>
    <t>amount</t>
  </si>
  <si>
    <t>category</t>
  </si>
  <si>
    <t>note</t>
  </si>
  <si>
    <t>KEKS Pay</t>
  </si>
  <si>
    <t>Restoran Kampus</t>
  </si>
  <si>
    <t>01/05/2025</t>
  </si>
  <si>
    <t>Google YouTubePremium</t>
  </si>
  <si>
    <t>MCDONALD'S KIOSK</t>
  </si>
  <si>
    <t>Naplata naknade za vođenje računa</t>
  </si>
  <si>
    <t>Petrol Pm Rijeka Vez</t>
  </si>
  <si>
    <t>02/05/2025</t>
  </si>
  <si>
    <t>dm drogerie</t>
  </si>
  <si>
    <t>03/05/2025</t>
  </si>
  <si>
    <t>Hrvatske autoceste</t>
  </si>
  <si>
    <t>Gavranović</t>
  </si>
  <si>
    <t>SPAR Food &amp; Fuel</t>
  </si>
  <si>
    <t>06/05/2025</t>
  </si>
  <si>
    <t>RESTORAN KAMPUS</t>
  </si>
  <si>
    <t>07/05/2025</t>
  </si>
  <si>
    <t>UPLATA NA DEPOZITNOM BANKOMATU</t>
  </si>
  <si>
    <t>CAFFE BAR FORMULA</t>
  </si>
  <si>
    <t>08/05/2025</t>
  </si>
  <si>
    <t>Inovine P 032</t>
  </si>
  <si>
    <t>09/05/2025</t>
  </si>
  <si>
    <t>Dante Bar</t>
  </si>
  <si>
    <t>12/05/2025</t>
  </si>
  <si>
    <t>PETROL PM RIJEKA, VEZICA</t>
  </si>
  <si>
    <t>13/05/2025</t>
  </si>
  <si>
    <t>Apple</t>
  </si>
  <si>
    <t>Mlinar</t>
  </si>
  <si>
    <t>Tabacco Shop</t>
  </si>
  <si>
    <t>14/05/2025</t>
  </si>
  <si>
    <t>PLODINE SUPERMARKET</t>
  </si>
  <si>
    <t>15/05/2025</t>
  </si>
  <si>
    <t>Studentski centar Rijeka, SEMENIUK DMYTRO SVIBANJ rb. 595</t>
  </si>
  <si>
    <t>16/05/2025</t>
  </si>
  <si>
    <t>Caffe Bar Formula</t>
  </si>
  <si>
    <t>17/05/2025</t>
  </si>
  <si>
    <t>462765XXXXXX9899, INA BP KOSTRENA</t>
  </si>
  <si>
    <t>462765XXXXXX9899, GAVRANOVIC P-209 HRELJIN</t>
  </si>
  <si>
    <t>Piko</t>
  </si>
  <si>
    <t>Rijeka Trans</t>
  </si>
  <si>
    <t>Plodine</t>
  </si>
  <si>
    <t>Bmove</t>
  </si>
  <si>
    <t>19/05/2025</t>
  </si>
  <si>
    <t>20/05/2025</t>
  </si>
  <si>
    <t>Transfer to Revolut user</t>
  </si>
  <si>
    <t>Studenac</t>
  </si>
  <si>
    <t>Index</t>
  </si>
  <si>
    <t>22/05/2025</t>
  </si>
  <si>
    <t>23/05/2025</t>
  </si>
  <si>
    <t>Spar</t>
  </si>
  <si>
    <t>24/05/2025</t>
  </si>
  <si>
    <t>Trgovacki Obrt Buric</t>
  </si>
  <si>
    <t>25/05/2025</t>
  </si>
  <si>
    <t>Tommy</t>
  </si>
  <si>
    <t>McDonald's</t>
  </si>
  <si>
    <t>26/05/2025</t>
  </si>
  <si>
    <t>PAYPAL *VIERUDGROUP</t>
  </si>
  <si>
    <t>27/05/2025</t>
  </si>
  <si>
    <t>462765XXXXXX9899, ERSTE ATM A2151046 RIJEKA Jadranski trg 3a</t>
  </si>
  <si>
    <t>28/05/2025</t>
  </si>
  <si>
    <t>29/05/2025</t>
  </si>
  <si>
    <t>ADRIA OIL</t>
  </si>
  <si>
    <t>462765XXXXXX9899, PETROL PM RIJEKA, VEZICA RIJEKA</t>
  </si>
  <si>
    <t>30/05/2025</t>
  </si>
  <si>
    <t>PETROL PM RIJEKA, OBILAZN</t>
  </si>
  <si>
    <t>516875****5300</t>
  </si>
  <si>
    <t>31/05/2025</t>
  </si>
  <si>
    <t>Groceries</t>
  </si>
  <si>
    <t>Transportation</t>
  </si>
  <si>
    <t>Dining &amp; Restoraunts</t>
  </si>
  <si>
    <t>Shopping</t>
  </si>
  <si>
    <t>Home</t>
  </si>
  <si>
    <t>Cash Withdrawals</t>
  </si>
  <si>
    <t>Entertainment &amp; Subscription</t>
  </si>
  <si>
    <t>Travelling</t>
  </si>
  <si>
    <t>Education &amp; Studying</t>
  </si>
  <si>
    <t>Investments</t>
  </si>
  <si>
    <t>Other</t>
  </si>
  <si>
    <t>Total spend</t>
  </si>
  <si>
    <t>Income</t>
  </si>
  <si>
    <t>Fine 150 euros, vignette - 17</t>
  </si>
  <si>
    <t>CASH</t>
  </si>
  <si>
    <t>ERSTE</t>
  </si>
  <si>
    <t>REVOLUT</t>
  </si>
  <si>
    <t>MONOBANK</t>
  </si>
  <si>
    <t>STOCKS INVESTMENTS</t>
  </si>
  <si>
    <t>CRYPTO INVESTMENTS</t>
  </si>
  <si>
    <t>EMERGENCY FUND</t>
  </si>
  <si>
    <t>MOVING OUT FUND</t>
  </si>
  <si>
    <t>SPENT BY CATEGORIES</t>
  </si>
  <si>
    <t>Prijenos sa HR8224020063211614523, Groši jbt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</si>
</sst>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([$UAH]\ * #,##0.00_);_([$UAH]\ * \(#,##0.00\);_([$UAH]\ 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5"/>
      <color rgb="FFFFFFFF"/>
      <name val="Aptos Narrow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  <fill>
      <patternFill patternType="solid">
        <fgColor rgb="FFFF000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164" fontId="2" fillId="2" borderId="4" xfId="0" applyNumberFormat="1" applyFont="1" applyFill="1" applyBorder="1"/>
    <xf numFmtId="164" fontId="2" fillId="2" borderId="5" xfId="0" applyNumberFormat="1" applyFont="1" applyFill="1" applyBorder="1"/>
    <xf numFmtId="165" fontId="2" fillId="2" borderId="5" xfId="0" applyNumberFormat="1" applyFont="1" applyFill="1" applyBorder="1"/>
    <xf numFmtId="0" fontId="2" fillId="0" borderId="0" xfId="0" applyFont="1"/>
    <xf numFmtId="0" fontId="2" fillId="2" borderId="5" xfId="0" applyFont="1" applyFill="1" applyBorder="1"/>
    <xf numFmtId="44" fontId="2" fillId="2" borderId="5" xfId="0" applyNumberFormat="1" applyFont="1" applyFill="1" applyBorder="1"/>
    <xf numFmtId="0" fontId="2" fillId="2" borderId="7" xfId="0" applyFont="1" applyFill="1" applyBorder="1"/>
    <xf numFmtId="0" fontId="4" fillId="0" borderId="0" xfId="0" applyFont="1"/>
    <xf numFmtId="0" fontId="4" fillId="4" borderId="0" xfId="0" applyFont="1" applyFill="1"/>
    <xf numFmtId="0" fontId="3" fillId="3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88589-99C4-284B-8FD5-B0161A9045F0}" name="Table1" displayName="Table1" ref="A1:E84" totalsRowCount="1" headerRowDxfId="2" headerRowBorderDxfId="1" tableBorderDxfId="0">
  <autoFilter ref="A1:E83" xr:uid="{DD588589-99C4-284B-8FD5-B0161A9045F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CB694E1-E0E0-AE49-A5F9-1C1AE37CB911}" name="txn_date"/>
    <tableColumn id="2" xr3:uid="{E14F1396-65F3-6144-8D29-D3D3CC12E7E1}" name="description"/>
    <tableColumn id="3" xr3:uid="{917B02B0-36BC-3349-BA17-5A57BDFF5F17}" name="amount"/>
    <tableColumn id="4" xr3:uid="{3D393172-4218-9646-AECE-FAD97891B241}" name="category"/>
    <tableColumn id="5" xr3:uid="{EBED30E4-7287-C146-82FC-B736CE10C420}" name="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topLeftCell="A71" zoomScale="136" workbookViewId="0">
      <selection activeCell="E83" sqref="A1:E83"/>
    </sheetView>
  </sheetViews>
  <sheetFormatPr baseColWidth="10" defaultColWidth="8.83203125" defaultRowHeight="15" x14ac:dyDescent="0.2"/>
  <cols>
    <col min="1" max="1" width="10.33203125" customWidth="1"/>
    <col min="2" max="2" width="53" bestFit="1" customWidth="1"/>
    <col min="3" max="3" width="9.5" customWidth="1"/>
    <col min="4" max="4" width="24.1640625" bestFit="1" customWidth="1"/>
    <col min="5" max="5" width="22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t="s">
        <v>8</v>
      </c>
      <c r="C2">
        <v>-3.15</v>
      </c>
      <c r="D2" t="s">
        <v>77</v>
      </c>
    </row>
    <row r="3" spans="1:5" x14ac:dyDescent="0.2">
      <c r="A3" t="s">
        <v>7</v>
      </c>
      <c r="B3" t="s">
        <v>9</v>
      </c>
      <c r="C3">
        <v>-8.76</v>
      </c>
      <c r="D3" t="s">
        <v>73</v>
      </c>
    </row>
    <row r="4" spans="1:5" x14ac:dyDescent="0.2">
      <c r="A4" t="s">
        <v>7</v>
      </c>
      <c r="B4" t="s">
        <v>10</v>
      </c>
      <c r="C4">
        <v>-3</v>
      </c>
      <c r="D4" t="s">
        <v>81</v>
      </c>
    </row>
    <row r="5" spans="1:5" x14ac:dyDescent="0.2">
      <c r="A5" t="s">
        <v>7</v>
      </c>
      <c r="B5" t="s">
        <v>11</v>
      </c>
      <c r="C5">
        <v>-15.01</v>
      </c>
      <c r="D5" t="s">
        <v>78</v>
      </c>
    </row>
    <row r="6" spans="1:5" x14ac:dyDescent="0.2">
      <c r="A6" t="s">
        <v>12</v>
      </c>
      <c r="B6" t="s">
        <v>6</v>
      </c>
      <c r="C6">
        <v>-1.1499999999999999</v>
      </c>
      <c r="D6" t="s">
        <v>73</v>
      </c>
    </row>
    <row r="7" spans="1:5" x14ac:dyDescent="0.2">
      <c r="A7" t="s">
        <v>12</v>
      </c>
      <c r="B7" t="s">
        <v>6</v>
      </c>
      <c r="C7">
        <v>-2.0499999999999998</v>
      </c>
      <c r="D7" t="s">
        <v>73</v>
      </c>
    </row>
    <row r="8" spans="1:5" x14ac:dyDescent="0.2">
      <c r="A8" t="s">
        <v>12</v>
      </c>
      <c r="B8" t="s">
        <v>13</v>
      </c>
      <c r="C8">
        <v>-1.75</v>
      </c>
      <c r="D8" t="s">
        <v>71</v>
      </c>
    </row>
    <row r="9" spans="1:5" x14ac:dyDescent="0.2">
      <c r="A9" t="s">
        <v>14</v>
      </c>
      <c r="B9" t="s">
        <v>15</v>
      </c>
      <c r="C9">
        <v>-1.1000000000000001</v>
      </c>
      <c r="D9" t="s">
        <v>78</v>
      </c>
    </row>
    <row r="10" spans="1:5" x14ac:dyDescent="0.2">
      <c r="A10" t="s">
        <v>18</v>
      </c>
      <c r="B10" t="s">
        <v>19</v>
      </c>
      <c r="C10">
        <v>-2.59</v>
      </c>
      <c r="D10" t="s">
        <v>73</v>
      </c>
    </row>
    <row r="11" spans="1:5" x14ac:dyDescent="0.2">
      <c r="A11" t="s">
        <v>18</v>
      </c>
      <c r="B11" t="s">
        <v>6</v>
      </c>
      <c r="C11">
        <v>-0.22</v>
      </c>
      <c r="D11" t="s">
        <v>73</v>
      </c>
    </row>
    <row r="12" spans="1:5" x14ac:dyDescent="0.2">
      <c r="A12" t="s">
        <v>18</v>
      </c>
      <c r="B12" t="s">
        <v>6</v>
      </c>
      <c r="C12">
        <v>-0.79</v>
      </c>
      <c r="D12" t="s">
        <v>73</v>
      </c>
    </row>
    <row r="13" spans="1:5" x14ac:dyDescent="0.2">
      <c r="A13" t="s">
        <v>20</v>
      </c>
      <c r="B13" t="s">
        <v>21</v>
      </c>
      <c r="C13">
        <v>30</v>
      </c>
      <c r="D13" t="s">
        <v>83</v>
      </c>
    </row>
    <row r="14" spans="1:5" x14ac:dyDescent="0.2">
      <c r="A14" t="s">
        <v>20</v>
      </c>
      <c r="B14" t="s">
        <v>6</v>
      </c>
      <c r="C14">
        <v>-0.6</v>
      </c>
      <c r="D14" t="s">
        <v>73</v>
      </c>
    </row>
    <row r="15" spans="1:5" x14ac:dyDescent="0.2">
      <c r="A15" t="s">
        <v>20</v>
      </c>
      <c r="B15" t="s">
        <v>22</v>
      </c>
      <c r="C15">
        <v>-1.35</v>
      </c>
      <c r="D15" t="s">
        <v>73</v>
      </c>
    </row>
    <row r="16" spans="1:5" x14ac:dyDescent="0.2">
      <c r="A16" t="s">
        <v>23</v>
      </c>
      <c r="B16" t="s">
        <v>17</v>
      </c>
      <c r="C16">
        <v>-2.21</v>
      </c>
      <c r="D16" t="s">
        <v>71</v>
      </c>
    </row>
    <row r="17" spans="1:4" x14ac:dyDescent="0.2">
      <c r="A17" t="s">
        <v>23</v>
      </c>
      <c r="B17" t="s">
        <v>6</v>
      </c>
      <c r="C17">
        <v>-1.84</v>
      </c>
      <c r="D17" t="s">
        <v>73</v>
      </c>
    </row>
    <row r="18" spans="1:4" x14ac:dyDescent="0.2">
      <c r="A18" t="s">
        <v>23</v>
      </c>
      <c r="B18" t="s">
        <v>6</v>
      </c>
      <c r="C18">
        <v>-0.79</v>
      </c>
      <c r="D18" t="s">
        <v>73</v>
      </c>
    </row>
    <row r="19" spans="1:4" x14ac:dyDescent="0.2">
      <c r="A19" t="s">
        <v>23</v>
      </c>
      <c r="B19" t="s">
        <v>24</v>
      </c>
      <c r="C19">
        <v>-1.0900000000000001</v>
      </c>
      <c r="D19" t="s">
        <v>74</v>
      </c>
    </row>
    <row r="20" spans="1:4" x14ac:dyDescent="0.2">
      <c r="A20" t="s">
        <v>25</v>
      </c>
      <c r="B20" t="s">
        <v>6</v>
      </c>
      <c r="C20">
        <v>-0.3</v>
      </c>
      <c r="D20" t="s">
        <v>73</v>
      </c>
    </row>
    <row r="21" spans="1:4" x14ac:dyDescent="0.2">
      <c r="A21" t="s">
        <v>25</v>
      </c>
      <c r="B21" t="s">
        <v>6</v>
      </c>
      <c r="C21">
        <v>-1.59</v>
      </c>
      <c r="D21" t="s">
        <v>73</v>
      </c>
    </row>
    <row r="22" spans="1:4" x14ac:dyDescent="0.2">
      <c r="A22" t="s">
        <v>25</v>
      </c>
      <c r="B22" t="s">
        <v>26</v>
      </c>
      <c r="C22">
        <v>-4</v>
      </c>
      <c r="D22" t="s">
        <v>73</v>
      </c>
    </row>
    <row r="23" spans="1:4" x14ac:dyDescent="0.2">
      <c r="A23" t="s">
        <v>25</v>
      </c>
      <c r="B23" t="s">
        <v>6</v>
      </c>
      <c r="C23">
        <v>-2.2200000000000002</v>
      </c>
      <c r="D23" t="s">
        <v>73</v>
      </c>
    </row>
    <row r="24" spans="1:4" x14ac:dyDescent="0.2">
      <c r="A24" t="s">
        <v>25</v>
      </c>
      <c r="B24" t="s">
        <v>6</v>
      </c>
      <c r="C24">
        <v>-1</v>
      </c>
      <c r="D24" t="s">
        <v>73</v>
      </c>
    </row>
    <row r="25" spans="1:4" x14ac:dyDescent="0.2">
      <c r="A25" t="s">
        <v>27</v>
      </c>
      <c r="B25" t="s">
        <v>28</v>
      </c>
      <c r="C25">
        <v>-19.899999999999999</v>
      </c>
      <c r="D25" t="s">
        <v>72</v>
      </c>
    </row>
    <row r="26" spans="1:4" x14ac:dyDescent="0.2">
      <c r="A26" t="s">
        <v>27</v>
      </c>
      <c r="B26" t="s">
        <v>6</v>
      </c>
      <c r="C26">
        <v>-0.3</v>
      </c>
      <c r="D26" t="s">
        <v>73</v>
      </c>
    </row>
    <row r="27" spans="1:4" x14ac:dyDescent="0.2">
      <c r="A27" t="s">
        <v>27</v>
      </c>
      <c r="B27" t="s">
        <v>6</v>
      </c>
      <c r="C27">
        <v>-1.35</v>
      </c>
      <c r="D27" t="s">
        <v>73</v>
      </c>
    </row>
    <row r="28" spans="1:4" x14ac:dyDescent="0.2">
      <c r="A28" t="s">
        <v>27</v>
      </c>
      <c r="B28" t="s">
        <v>6</v>
      </c>
      <c r="C28">
        <v>-0.95</v>
      </c>
      <c r="D28" t="s">
        <v>73</v>
      </c>
    </row>
    <row r="29" spans="1:4" x14ac:dyDescent="0.2">
      <c r="A29" t="s">
        <v>29</v>
      </c>
      <c r="B29" t="s">
        <v>30</v>
      </c>
      <c r="C29">
        <v>-6.49</v>
      </c>
      <c r="D29" t="s">
        <v>77</v>
      </c>
    </row>
    <row r="30" spans="1:4" x14ac:dyDescent="0.2">
      <c r="A30" t="s">
        <v>29</v>
      </c>
      <c r="B30" t="s">
        <v>31</v>
      </c>
      <c r="C30">
        <v>-3</v>
      </c>
      <c r="D30" t="s">
        <v>71</v>
      </c>
    </row>
    <row r="31" spans="1:4" x14ac:dyDescent="0.2">
      <c r="A31" t="s">
        <v>29</v>
      </c>
      <c r="B31" t="s">
        <v>32</v>
      </c>
      <c r="C31">
        <v>-2.59</v>
      </c>
      <c r="D31" t="s">
        <v>74</v>
      </c>
    </row>
    <row r="32" spans="1:4" x14ac:dyDescent="0.2">
      <c r="A32" t="s">
        <v>33</v>
      </c>
      <c r="B32" t="s">
        <v>34</v>
      </c>
      <c r="C32">
        <v>-2.23</v>
      </c>
      <c r="D32" t="s">
        <v>71</v>
      </c>
    </row>
    <row r="33" spans="1:4" x14ac:dyDescent="0.2">
      <c r="A33" t="s">
        <v>33</v>
      </c>
      <c r="B33" t="s">
        <v>19</v>
      </c>
      <c r="C33">
        <v>-0.67</v>
      </c>
      <c r="D33" t="s">
        <v>73</v>
      </c>
    </row>
    <row r="34" spans="1:4" x14ac:dyDescent="0.2">
      <c r="A34" t="s">
        <v>33</v>
      </c>
      <c r="B34" t="s">
        <v>34</v>
      </c>
      <c r="C34">
        <v>-0.18</v>
      </c>
      <c r="D34" t="s">
        <v>71</v>
      </c>
    </row>
    <row r="35" spans="1:4" x14ac:dyDescent="0.2">
      <c r="A35" t="s">
        <v>35</v>
      </c>
      <c r="B35" t="s">
        <v>6</v>
      </c>
      <c r="C35">
        <v>-1.1100000000000001</v>
      </c>
      <c r="D35" t="s">
        <v>73</v>
      </c>
    </row>
    <row r="36" spans="1:4" x14ac:dyDescent="0.2">
      <c r="A36" t="s">
        <v>35</v>
      </c>
      <c r="B36" t="s">
        <v>36</v>
      </c>
      <c r="C36">
        <v>242.4</v>
      </c>
      <c r="D36" t="s">
        <v>83</v>
      </c>
    </row>
    <row r="37" spans="1:4" x14ac:dyDescent="0.2">
      <c r="A37" t="s">
        <v>37</v>
      </c>
      <c r="B37" t="s">
        <v>6</v>
      </c>
      <c r="C37">
        <v>-1.9</v>
      </c>
      <c r="D37" t="s">
        <v>73</v>
      </c>
    </row>
    <row r="38" spans="1:4" x14ac:dyDescent="0.2">
      <c r="A38" t="s">
        <v>37</v>
      </c>
      <c r="B38" t="s">
        <v>6</v>
      </c>
      <c r="C38">
        <v>-2</v>
      </c>
      <c r="D38" t="s">
        <v>73</v>
      </c>
    </row>
    <row r="39" spans="1:4" x14ac:dyDescent="0.2">
      <c r="A39" t="s">
        <v>37</v>
      </c>
      <c r="B39" t="s">
        <v>17</v>
      </c>
      <c r="C39">
        <v>-6.14</v>
      </c>
      <c r="D39" t="s">
        <v>71</v>
      </c>
    </row>
    <row r="40" spans="1:4" x14ac:dyDescent="0.2">
      <c r="A40" t="s">
        <v>37</v>
      </c>
      <c r="B40" t="s">
        <v>38</v>
      </c>
      <c r="C40">
        <v>-2.95</v>
      </c>
      <c r="D40" t="s">
        <v>73</v>
      </c>
    </row>
    <row r="41" spans="1:4" x14ac:dyDescent="0.2">
      <c r="A41" t="s">
        <v>39</v>
      </c>
      <c r="B41" t="s">
        <v>40</v>
      </c>
      <c r="C41">
        <v>-20.02</v>
      </c>
      <c r="D41" t="s">
        <v>72</v>
      </c>
    </row>
    <row r="42" spans="1:4" x14ac:dyDescent="0.2">
      <c r="A42" t="s">
        <v>39</v>
      </c>
      <c r="B42" t="s">
        <v>41</v>
      </c>
      <c r="C42">
        <v>-1.19</v>
      </c>
      <c r="D42" t="s">
        <v>71</v>
      </c>
    </row>
    <row r="43" spans="1:4" x14ac:dyDescent="0.2">
      <c r="A43" t="s">
        <v>39</v>
      </c>
      <c r="B43" t="s">
        <v>42</v>
      </c>
      <c r="C43">
        <v>-1.75</v>
      </c>
      <c r="D43" t="s">
        <v>71</v>
      </c>
    </row>
    <row r="44" spans="1:4" x14ac:dyDescent="0.2">
      <c r="A44" t="s">
        <v>39</v>
      </c>
      <c r="B44" t="s">
        <v>43</v>
      </c>
      <c r="C44">
        <v>-20.2</v>
      </c>
      <c r="D44" t="s">
        <v>72</v>
      </c>
    </row>
    <row r="45" spans="1:4" x14ac:dyDescent="0.2">
      <c r="A45" t="s">
        <v>39</v>
      </c>
      <c r="B45" t="s">
        <v>44</v>
      </c>
      <c r="C45">
        <v>-11.22</v>
      </c>
      <c r="D45" t="s">
        <v>71</v>
      </c>
    </row>
    <row r="46" spans="1:4" x14ac:dyDescent="0.2">
      <c r="A46" t="s">
        <v>39</v>
      </c>
      <c r="B46" t="s">
        <v>45</v>
      </c>
      <c r="C46">
        <v>-1.6</v>
      </c>
      <c r="D46" t="s">
        <v>72</v>
      </c>
    </row>
    <row r="47" spans="1:4" x14ac:dyDescent="0.2">
      <c r="A47" t="s">
        <v>46</v>
      </c>
      <c r="B47" t="s">
        <v>6</v>
      </c>
      <c r="C47">
        <v>-1.64</v>
      </c>
      <c r="D47" t="s">
        <v>73</v>
      </c>
    </row>
    <row r="48" spans="1:4" x14ac:dyDescent="0.2">
      <c r="A48" t="s">
        <v>46</v>
      </c>
      <c r="B48" t="s">
        <v>44</v>
      </c>
      <c r="C48">
        <v>-1.94</v>
      </c>
      <c r="D48" t="s">
        <v>71</v>
      </c>
    </row>
    <row r="49" spans="1:5" x14ac:dyDescent="0.2">
      <c r="A49" t="s">
        <v>47</v>
      </c>
      <c r="B49" t="s">
        <v>48</v>
      </c>
      <c r="C49">
        <v>-2</v>
      </c>
      <c r="D49" t="s">
        <v>81</v>
      </c>
    </row>
    <row r="50" spans="1:5" x14ac:dyDescent="0.2">
      <c r="A50" s="12" t="s">
        <v>47</v>
      </c>
      <c r="B50" s="12" t="s">
        <v>94</v>
      </c>
      <c r="C50" s="12">
        <v>-55</v>
      </c>
      <c r="D50" s="12" t="s">
        <v>80</v>
      </c>
      <c r="E50" s="12"/>
    </row>
    <row r="51" spans="1:5" x14ac:dyDescent="0.2">
      <c r="A51" t="s">
        <v>47</v>
      </c>
      <c r="B51" t="s">
        <v>17</v>
      </c>
      <c r="C51">
        <v>-1.02</v>
      </c>
      <c r="D51" t="s">
        <v>71</v>
      </c>
    </row>
    <row r="52" spans="1:5" x14ac:dyDescent="0.2">
      <c r="A52" t="s">
        <v>47</v>
      </c>
      <c r="B52" t="s">
        <v>49</v>
      </c>
      <c r="C52">
        <v>-1.22</v>
      </c>
      <c r="D52" t="s">
        <v>71</v>
      </c>
    </row>
    <row r="53" spans="1:5" x14ac:dyDescent="0.2">
      <c r="A53" t="s">
        <v>47</v>
      </c>
      <c r="B53" t="s">
        <v>6</v>
      </c>
      <c r="C53">
        <v>-1.1499999999999999</v>
      </c>
      <c r="D53" t="s">
        <v>73</v>
      </c>
    </row>
    <row r="54" spans="1:5" x14ac:dyDescent="0.2">
      <c r="A54" t="s">
        <v>47</v>
      </c>
      <c r="B54" t="s">
        <v>50</v>
      </c>
      <c r="C54">
        <v>-1.3</v>
      </c>
      <c r="D54" t="s">
        <v>73</v>
      </c>
    </row>
    <row r="55" spans="1:5" x14ac:dyDescent="0.2">
      <c r="A55" t="s">
        <v>51</v>
      </c>
      <c r="B55" t="s">
        <v>6</v>
      </c>
      <c r="C55">
        <v>-0.62</v>
      </c>
      <c r="D55" t="s">
        <v>73</v>
      </c>
    </row>
    <row r="56" spans="1:5" x14ac:dyDescent="0.2">
      <c r="A56" t="s">
        <v>51</v>
      </c>
      <c r="B56" t="s">
        <v>50</v>
      </c>
      <c r="C56">
        <v>-0.98</v>
      </c>
      <c r="D56" t="s">
        <v>73</v>
      </c>
    </row>
    <row r="57" spans="1:5" x14ac:dyDescent="0.2">
      <c r="A57" t="s">
        <v>51</v>
      </c>
      <c r="B57" t="s">
        <v>49</v>
      </c>
      <c r="C57">
        <v>-1.39</v>
      </c>
      <c r="D57" t="s">
        <v>71</v>
      </c>
    </row>
    <row r="58" spans="1:5" x14ac:dyDescent="0.2">
      <c r="A58" t="s">
        <v>51</v>
      </c>
      <c r="B58" t="s">
        <v>16</v>
      </c>
      <c r="C58">
        <v>-0.99</v>
      </c>
      <c r="D58" t="s">
        <v>71</v>
      </c>
    </row>
    <row r="59" spans="1:5" x14ac:dyDescent="0.2">
      <c r="A59" t="s">
        <v>52</v>
      </c>
      <c r="B59" t="s">
        <v>5</v>
      </c>
      <c r="C59">
        <v>-2.2000000000000002</v>
      </c>
      <c r="D59" t="s">
        <v>73</v>
      </c>
    </row>
    <row r="60" spans="1:5" x14ac:dyDescent="0.2">
      <c r="A60" t="s">
        <v>52</v>
      </c>
      <c r="B60" t="s">
        <v>6</v>
      </c>
      <c r="C60">
        <v>-0.84</v>
      </c>
      <c r="D60" t="s">
        <v>73</v>
      </c>
    </row>
    <row r="61" spans="1:5" x14ac:dyDescent="0.2">
      <c r="A61" t="s">
        <v>52</v>
      </c>
      <c r="B61" t="s">
        <v>11</v>
      </c>
      <c r="C61">
        <v>-10.050000000000001</v>
      </c>
      <c r="D61" t="s">
        <v>72</v>
      </c>
    </row>
    <row r="62" spans="1:5" x14ac:dyDescent="0.2">
      <c r="A62" t="s">
        <v>52</v>
      </c>
      <c r="B62" t="s">
        <v>17</v>
      </c>
      <c r="C62">
        <v>-0.15</v>
      </c>
      <c r="D62" t="s">
        <v>71</v>
      </c>
    </row>
    <row r="63" spans="1:5" x14ac:dyDescent="0.2">
      <c r="A63" t="s">
        <v>52</v>
      </c>
      <c r="B63" t="s">
        <v>53</v>
      </c>
      <c r="C63">
        <v>-2.04</v>
      </c>
      <c r="D63" t="s">
        <v>71</v>
      </c>
    </row>
    <row r="64" spans="1:5" x14ac:dyDescent="0.2">
      <c r="A64" t="s">
        <v>54</v>
      </c>
      <c r="B64" t="s">
        <v>55</v>
      </c>
      <c r="C64">
        <v>-2.2999999999999998</v>
      </c>
      <c r="D64" t="s">
        <v>71</v>
      </c>
    </row>
    <row r="65" spans="1:4" x14ac:dyDescent="0.2">
      <c r="A65" t="s">
        <v>56</v>
      </c>
      <c r="B65" t="s">
        <v>57</v>
      </c>
      <c r="C65">
        <v>-3.67</v>
      </c>
      <c r="D65" t="s">
        <v>71</v>
      </c>
    </row>
    <row r="66" spans="1:4" x14ac:dyDescent="0.2">
      <c r="A66" t="s">
        <v>56</v>
      </c>
      <c r="B66" t="s">
        <v>58</v>
      </c>
      <c r="C66">
        <v>-4.7</v>
      </c>
      <c r="D66" t="s">
        <v>73</v>
      </c>
    </row>
    <row r="67" spans="1:4" x14ac:dyDescent="0.2">
      <c r="A67" t="s">
        <v>59</v>
      </c>
      <c r="B67" t="s">
        <v>60</v>
      </c>
      <c r="C67">
        <v>-2.5099999999999998</v>
      </c>
      <c r="D67" t="s">
        <v>80</v>
      </c>
    </row>
    <row r="68" spans="1:4" x14ac:dyDescent="0.2">
      <c r="A68" t="s">
        <v>59</v>
      </c>
      <c r="B68" t="s">
        <v>6</v>
      </c>
      <c r="C68">
        <v>-1.55</v>
      </c>
      <c r="D68" t="s">
        <v>73</v>
      </c>
    </row>
    <row r="69" spans="1:4" x14ac:dyDescent="0.2">
      <c r="A69" t="s">
        <v>59</v>
      </c>
      <c r="B69" t="s">
        <v>38</v>
      </c>
      <c r="C69">
        <v>-2.5499999999999998</v>
      </c>
      <c r="D69" t="s">
        <v>73</v>
      </c>
    </row>
    <row r="70" spans="1:4" x14ac:dyDescent="0.2">
      <c r="A70" t="s">
        <v>61</v>
      </c>
      <c r="B70" t="s">
        <v>6</v>
      </c>
      <c r="C70">
        <v>-1.35</v>
      </c>
      <c r="D70" t="s">
        <v>73</v>
      </c>
    </row>
    <row r="71" spans="1:4" x14ac:dyDescent="0.2">
      <c r="A71" t="s">
        <v>61</v>
      </c>
      <c r="B71" t="s">
        <v>62</v>
      </c>
      <c r="C71">
        <v>-10</v>
      </c>
      <c r="D71" t="s">
        <v>72</v>
      </c>
    </row>
    <row r="72" spans="1:4" x14ac:dyDescent="0.2">
      <c r="A72" t="s">
        <v>61</v>
      </c>
      <c r="B72" t="s">
        <v>50</v>
      </c>
      <c r="C72">
        <v>-1.1200000000000001</v>
      </c>
      <c r="D72" t="s">
        <v>73</v>
      </c>
    </row>
    <row r="73" spans="1:4" x14ac:dyDescent="0.2">
      <c r="A73" t="s">
        <v>63</v>
      </c>
      <c r="B73" t="s">
        <v>50</v>
      </c>
      <c r="C73">
        <v>-1.08</v>
      </c>
      <c r="D73" t="s">
        <v>73</v>
      </c>
    </row>
    <row r="74" spans="1:4" x14ac:dyDescent="0.2">
      <c r="A74" t="s">
        <v>63</v>
      </c>
      <c r="B74" t="s">
        <v>16</v>
      </c>
      <c r="C74">
        <v>-2.94</v>
      </c>
      <c r="D74" t="s">
        <v>71</v>
      </c>
    </row>
    <row r="75" spans="1:4" x14ac:dyDescent="0.2">
      <c r="A75" t="s">
        <v>64</v>
      </c>
      <c r="B75" t="s">
        <v>65</v>
      </c>
      <c r="C75">
        <v>-10</v>
      </c>
      <c r="D75" t="s">
        <v>72</v>
      </c>
    </row>
    <row r="76" spans="1:4" x14ac:dyDescent="0.2">
      <c r="A76" t="s">
        <v>64</v>
      </c>
      <c r="B76" t="s">
        <v>6</v>
      </c>
      <c r="C76">
        <v>-1.1100000000000001</v>
      </c>
      <c r="D76" t="s">
        <v>73</v>
      </c>
    </row>
    <row r="77" spans="1:4" x14ac:dyDescent="0.2">
      <c r="A77" t="s">
        <v>64</v>
      </c>
      <c r="B77" t="s">
        <v>66</v>
      </c>
      <c r="C77">
        <v>-15</v>
      </c>
      <c r="D77" t="s">
        <v>72</v>
      </c>
    </row>
    <row r="78" spans="1:4" x14ac:dyDescent="0.2">
      <c r="A78" t="s">
        <v>64</v>
      </c>
      <c r="B78" t="s">
        <v>6</v>
      </c>
      <c r="C78">
        <v>-2.38</v>
      </c>
      <c r="D78" t="s">
        <v>73</v>
      </c>
    </row>
    <row r="79" spans="1:4" x14ac:dyDescent="0.2">
      <c r="A79" t="s">
        <v>64</v>
      </c>
      <c r="B79" t="s">
        <v>6</v>
      </c>
      <c r="C79">
        <v>-1</v>
      </c>
      <c r="D79" t="s">
        <v>73</v>
      </c>
    </row>
    <row r="80" spans="1:4" x14ac:dyDescent="0.2">
      <c r="A80" t="s">
        <v>64</v>
      </c>
      <c r="B80" t="s">
        <v>6</v>
      </c>
      <c r="C80">
        <v>-0.92</v>
      </c>
      <c r="D80" t="s">
        <v>73</v>
      </c>
    </row>
    <row r="81" spans="1:5" x14ac:dyDescent="0.2">
      <c r="A81" t="s">
        <v>67</v>
      </c>
      <c r="B81" t="s">
        <v>68</v>
      </c>
      <c r="C81">
        <v>-27.36</v>
      </c>
      <c r="D81" t="s">
        <v>72</v>
      </c>
    </row>
    <row r="82" spans="1:5" x14ac:dyDescent="0.2">
      <c r="A82" t="s">
        <v>67</v>
      </c>
      <c r="B82" t="s">
        <v>69</v>
      </c>
      <c r="C82">
        <v>170</v>
      </c>
      <c r="D82" t="s">
        <v>81</v>
      </c>
      <c r="E82" t="s">
        <v>84</v>
      </c>
    </row>
    <row r="83" spans="1:5" x14ac:dyDescent="0.2">
      <c r="A83" t="s">
        <v>70</v>
      </c>
      <c r="B83" t="s">
        <v>10</v>
      </c>
      <c r="C83">
        <v>-3</v>
      </c>
      <c r="D83" t="s">
        <v>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295A-E22E-B840-ADF3-5DB6958230D3}">
  <dimension ref="A1:B27"/>
  <sheetViews>
    <sheetView topLeftCell="A3" workbookViewId="0">
      <selection activeCell="B27" sqref="B27"/>
    </sheetView>
  </sheetViews>
  <sheetFormatPr baseColWidth="10" defaultRowHeight="15" x14ac:dyDescent="0.2"/>
  <cols>
    <col min="1" max="1" width="25.1640625" bestFit="1" customWidth="1"/>
    <col min="2" max="2" width="17.83203125" customWidth="1"/>
  </cols>
  <sheetData>
    <row r="1" spans="1:2" ht="16" x14ac:dyDescent="0.2">
      <c r="A1" s="4" t="s">
        <v>85</v>
      </c>
      <c r="B1" s="5">
        <v>15</v>
      </c>
    </row>
    <row r="2" spans="1:2" ht="16" x14ac:dyDescent="0.2">
      <c r="A2" s="2" t="s">
        <v>86</v>
      </c>
      <c r="B2" s="6">
        <v>5</v>
      </c>
    </row>
    <row r="3" spans="1:2" ht="16" x14ac:dyDescent="0.2">
      <c r="A3" s="2" t="s">
        <v>87</v>
      </c>
      <c r="B3" s="6">
        <v>8</v>
      </c>
    </row>
    <row r="4" spans="1:2" ht="16" x14ac:dyDescent="0.2">
      <c r="A4" s="2" t="s">
        <v>88</v>
      </c>
      <c r="B4" s="7">
        <v>-13000</v>
      </c>
    </row>
    <row r="5" spans="1:2" ht="16" x14ac:dyDescent="0.2">
      <c r="A5" s="2"/>
      <c r="B5" s="9"/>
    </row>
    <row r="6" spans="1:2" ht="16" x14ac:dyDescent="0.2">
      <c r="A6" s="2" t="s">
        <v>89</v>
      </c>
      <c r="B6" s="6">
        <v>205</v>
      </c>
    </row>
    <row r="7" spans="1:2" ht="16" x14ac:dyDescent="0.2">
      <c r="A7" s="2" t="s">
        <v>90</v>
      </c>
      <c r="B7" s="10">
        <v>829</v>
      </c>
    </row>
    <row r="8" spans="1:2" ht="16" x14ac:dyDescent="0.2">
      <c r="A8" s="2" t="s">
        <v>91</v>
      </c>
      <c r="B8" s="6">
        <v>350</v>
      </c>
    </row>
    <row r="9" spans="1:2" ht="16" x14ac:dyDescent="0.2">
      <c r="A9" s="2" t="s">
        <v>92</v>
      </c>
      <c r="B9" s="6">
        <v>84</v>
      </c>
    </row>
    <row r="10" spans="1:2" ht="16" x14ac:dyDescent="0.2">
      <c r="A10" s="8"/>
      <c r="B10" s="8"/>
    </row>
    <row r="11" spans="1:2" ht="16" x14ac:dyDescent="0.2">
      <c r="A11" s="8"/>
      <c r="B11" s="8"/>
    </row>
    <row r="12" spans="1:2" ht="20" x14ac:dyDescent="0.25">
      <c r="A12" s="14" t="s">
        <v>93</v>
      </c>
      <c r="B12" s="14"/>
    </row>
    <row r="13" spans="1:2" ht="16" x14ac:dyDescent="0.2">
      <c r="A13" s="2" t="s">
        <v>71</v>
      </c>
      <c r="B13" s="9">
        <f>SUMIF(Table1[category],Stats!A13,Table1[amount])</f>
        <v>-47.33</v>
      </c>
    </row>
    <row r="14" spans="1:2" ht="16" x14ac:dyDescent="0.2">
      <c r="A14" s="2" t="s">
        <v>72</v>
      </c>
      <c r="B14" s="9">
        <f>SUMIF(Table1[category],Stats!A14,Table1[amount])</f>
        <v>-134.13</v>
      </c>
    </row>
    <row r="15" spans="1:2" ht="16" x14ac:dyDescent="0.2">
      <c r="A15" s="2" t="s">
        <v>73</v>
      </c>
      <c r="B15" s="9">
        <f>SUMIF(Table1[category],Stats!A15,Table1[amount])</f>
        <v>-66.97</v>
      </c>
    </row>
    <row r="16" spans="1:2" ht="16" x14ac:dyDescent="0.2">
      <c r="A16" s="2" t="s">
        <v>74</v>
      </c>
      <c r="B16" s="9">
        <f>SUMIF(Table1[category],Stats!A16,Table1[amount])</f>
        <v>-3.6799999999999997</v>
      </c>
    </row>
    <row r="17" spans="1:2" ht="16" x14ac:dyDescent="0.2">
      <c r="A17" s="2" t="s">
        <v>75</v>
      </c>
      <c r="B17" s="9">
        <f>SUMIF(Table1[category],Stats!A17,Table1[amount])</f>
        <v>0</v>
      </c>
    </row>
    <row r="18" spans="1:2" ht="16" x14ac:dyDescent="0.2">
      <c r="A18" s="2" t="s">
        <v>76</v>
      </c>
      <c r="B18" s="9">
        <f>SUMIF(Table1[category],Stats!A18,Table1[amount])</f>
        <v>0</v>
      </c>
    </row>
    <row r="19" spans="1:2" ht="16" x14ac:dyDescent="0.2">
      <c r="A19" s="2" t="s">
        <v>77</v>
      </c>
      <c r="B19" s="9">
        <f>SUMIF(Table1[category],Stats!A19,Table1[amount])</f>
        <v>-9.64</v>
      </c>
    </row>
    <row r="20" spans="1:2" ht="16" x14ac:dyDescent="0.2">
      <c r="A20" s="2" t="s">
        <v>78</v>
      </c>
      <c r="B20" s="9">
        <f>SUMIF(Table1[category],Stats!A20,Table1[amount])</f>
        <v>-16.11</v>
      </c>
    </row>
    <row r="21" spans="1:2" ht="16" x14ac:dyDescent="0.2">
      <c r="A21" s="2" t="s">
        <v>79</v>
      </c>
      <c r="B21" s="9">
        <f>SUMIF(Table1[category],Stats!A21,Table1[amount])</f>
        <v>0</v>
      </c>
    </row>
    <row r="22" spans="1:2" ht="16" x14ac:dyDescent="0.2">
      <c r="A22" s="2" t="s">
        <v>80</v>
      </c>
      <c r="B22" s="9">
        <f>SUMIF(Table1[category],Stats!A22,Table1[amount])</f>
        <v>-57.51</v>
      </c>
    </row>
    <row r="23" spans="1:2" ht="16" x14ac:dyDescent="0.2">
      <c r="A23" s="2" t="s">
        <v>81</v>
      </c>
      <c r="B23" s="9">
        <f>SUMIF(Table1[category],Stats!A23,Table1[amount])</f>
        <v>162</v>
      </c>
    </row>
    <row r="24" spans="1:2" ht="16" x14ac:dyDescent="0.2">
      <c r="A24" s="3" t="s">
        <v>82</v>
      </c>
      <c r="B24" s="11">
        <f>SUM(B13:B23)</f>
        <v>-173.37</v>
      </c>
    </row>
    <row r="25" spans="1:2" ht="16" x14ac:dyDescent="0.2">
      <c r="A25" s="15"/>
      <c r="B25" s="16"/>
    </row>
    <row r="26" spans="1:2" ht="16" x14ac:dyDescent="0.2">
      <c r="A26" s="2" t="s">
        <v>83</v>
      </c>
      <c r="B26" s="9">
        <f>SUMIF(Table1[category],Stats!A26,Table1[amount])</f>
        <v>272.39999999999998</v>
      </c>
    </row>
    <row r="27" spans="1:2" x14ac:dyDescent="0.2">
      <c r="A27" s="12"/>
      <c r="B27" s="13">
        <f>SUM(B26,B24)</f>
        <v>99.029999999999973</v>
      </c>
    </row>
  </sheetData>
  <mergeCells count="2">
    <mergeCell ref="A12:B12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Semeniuk</cp:lastModifiedBy>
  <dcterms:created xsi:type="dcterms:W3CDTF">2025-06-01T08:58:45Z</dcterms:created>
  <dcterms:modified xsi:type="dcterms:W3CDTF">2025-12-15T13:17:53Z</dcterms:modified>
</cp:coreProperties>
</file>