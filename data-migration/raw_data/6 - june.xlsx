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est/Documents/personal/finance-tracker/excel/monthly/"/>
    </mc:Choice>
  </mc:AlternateContent>
  <xr:revisionPtr revIDLastSave="0" documentId="13_ncr:1_{12541F08-66A9-8641-A65B-E2EA1820AC41}" xr6:coauthVersionLast="47" xr6:coauthVersionMax="47" xr10:uidLastSave="{00000000-0000-0000-0000-000000000000}"/>
  <bookViews>
    <workbookView xWindow="0" yWindow="500" windowWidth="38400" windowHeight="19300" activeTab="1" xr2:uid="{00000000-000D-0000-FFFF-FFFF00000000}"/>
  </bookViews>
  <sheets>
    <sheet name="Transactions" sheetId="1" r:id="rId1"/>
    <sheet name="Stats" sheetId="2" r:id="rId2"/>
  </sheets>
  <definedNames>
    <definedName name="_xlnm._FilterDatabase" localSheetId="0" hidden="1">Transactions!$A$1:$F$162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27" i="2"/>
  <c r="C163" i="1"/>
  <c r="B15" i="2"/>
  <c r="B22" i="2"/>
  <c r="B23" i="2"/>
  <c r="B24" i="2"/>
  <c r="B21" i="2"/>
  <c r="B20" i="2"/>
  <c r="B19" i="2"/>
  <c r="B18" i="2"/>
  <c r="B17" i="2"/>
  <c r="B16" i="2"/>
  <c r="B14" i="2"/>
  <c r="B25" i="2" l="1"/>
  <c r="B28" i="2" s="1"/>
</calcChain>
</file>

<file path=xl/sharedStrings.xml><?xml version="1.0" encoding="utf-8"?>
<sst xmlns="http://schemas.openxmlformats.org/spreadsheetml/2006/main" count="416" uniqueCount="108">
  <si>
    <t>txn_date</t>
  </si>
  <si>
    <t>description</t>
  </si>
  <si>
    <t>amount</t>
  </si>
  <si>
    <t>category</t>
  </si>
  <si>
    <t>note</t>
  </si>
  <si>
    <t>01/06/2025</t>
  </si>
  <si>
    <t>Bmove</t>
  </si>
  <si>
    <t>02/06/2025</t>
  </si>
  <si>
    <t>Transfer from Revolut user</t>
  </si>
  <si>
    <t>Restoran Kampus</t>
  </si>
  <si>
    <t>03/06/2025</t>
  </si>
  <si>
    <t>Plodine</t>
  </si>
  <si>
    <t>04/06/2025</t>
  </si>
  <si>
    <t>INA</t>
  </si>
  <si>
    <t>05/06/2025</t>
  </si>
  <si>
    <t>Google YouTubePremium</t>
  </si>
  <si>
    <t>Index</t>
  </si>
  <si>
    <t>06/06/2025</t>
  </si>
  <si>
    <t>Cacao</t>
  </si>
  <si>
    <t>07/06/2025</t>
  </si>
  <si>
    <t>UPLATA NA DEPOZITNOM BANKOMATU</t>
  </si>
  <si>
    <t>SPAR Food &amp; Fuel</t>
  </si>
  <si>
    <t>09/06/2025</t>
  </si>
  <si>
    <t>Caffe Bar Formula</t>
  </si>
  <si>
    <t>Amazon</t>
  </si>
  <si>
    <t>462765XXXXXX9899, PETROL PM RIJEKA, VEZICA RIJEKA</t>
  </si>
  <si>
    <t>Parkirali Te Korzo</t>
  </si>
  <si>
    <t>10/06/2025</t>
  </si>
  <si>
    <t>RESTORAN KAMPUS</t>
  </si>
  <si>
    <t>INTERSPAR</t>
  </si>
  <si>
    <t>11/06/2025</t>
  </si>
  <si>
    <t>KEKS Pay - Plaćanje na prodajnom mjestu Cacao Tower Center - 218914121</t>
  </si>
  <si>
    <t>Tisak</t>
  </si>
  <si>
    <t>Apple</t>
  </si>
  <si>
    <t>Gavranović</t>
  </si>
  <si>
    <t>12/06/2025</t>
  </si>
  <si>
    <t>KEKS Pay</t>
  </si>
  <si>
    <t>13/06/2025</t>
  </si>
  <si>
    <t>GAVRANOVIC P-209</t>
  </si>
  <si>
    <t>15/06/2025</t>
  </si>
  <si>
    <t>16/06/2025</t>
  </si>
  <si>
    <t>McDonald's</t>
  </si>
  <si>
    <t>17/06/2025</t>
  </si>
  <si>
    <t>PRTMN *KYIVSTAR T</t>
  </si>
  <si>
    <t>Nike</t>
  </si>
  <si>
    <t>Autogrill</t>
  </si>
  <si>
    <t>18/06/2025</t>
  </si>
  <si>
    <t>19/06/2025</t>
  </si>
  <si>
    <t>20/06/2025</t>
  </si>
  <si>
    <t>Petrol</t>
  </si>
  <si>
    <t>21/06/2025</t>
  </si>
  <si>
    <t>dm drogerie</t>
  </si>
  <si>
    <t>22/06/2025</t>
  </si>
  <si>
    <t>23/06/2025</t>
  </si>
  <si>
    <t>25/06/2025</t>
  </si>
  <si>
    <t>Sveucilisna Knjicnica</t>
  </si>
  <si>
    <t>Moire Student Shop</t>
  </si>
  <si>
    <t>26/06/2025</t>
  </si>
  <si>
    <t>462765XXXXXX9899, PETROL PM RIJEKA, MLAKA RIJEKA</t>
  </si>
  <si>
    <t>PAYPAL *VIERUDGROUP</t>
  </si>
  <si>
    <t>27/06/2025</t>
  </si>
  <si>
    <t>Kaufland</t>
  </si>
  <si>
    <t>Lidl</t>
  </si>
  <si>
    <t>30/06/2025</t>
  </si>
  <si>
    <t>462765XXXXXX9899, MCDONALD'S KIOSK KUKULJANOVO</t>
  </si>
  <si>
    <t>Dante Bar</t>
  </si>
  <si>
    <t>type</t>
  </si>
  <si>
    <t>card</t>
  </si>
  <si>
    <t>Кофе з тіпами</t>
  </si>
  <si>
    <t>Гроші Аріні</t>
  </si>
  <si>
    <t>Мама Дала на бенз</t>
  </si>
  <si>
    <t>Саша дав 50 євро(30 був винен за архам а 20 просто за допомогу)</t>
  </si>
  <si>
    <t>Стрижка</t>
  </si>
  <si>
    <t>Кофе Бонавія</t>
  </si>
  <si>
    <t>Зходили в кафе з Сашою коли були на СТО в загребі</t>
  </si>
  <si>
    <t>Кофе з одногрупниками</t>
  </si>
  <si>
    <t>Оренда Суп досок з русланом</t>
  </si>
  <si>
    <t>Піця з русланом і сашою, коли каталися на супах</t>
  </si>
  <si>
    <t>Кофе бонавія</t>
  </si>
  <si>
    <t>manual</t>
  </si>
  <si>
    <t>Transportation</t>
  </si>
  <si>
    <t>Dining &amp; Restaurants</t>
  </si>
  <si>
    <t>Groceries</t>
  </si>
  <si>
    <t>Entertainment &amp; Subscriptions</t>
  </si>
  <si>
    <t>Ina BP rijeka(на 15 євро заправився, на 12 купив руслану бухла)</t>
  </si>
  <si>
    <t>Income</t>
  </si>
  <si>
    <t>Coffee</t>
  </si>
  <si>
    <t>Book</t>
  </si>
  <si>
    <t>Education &amp; Studying</t>
  </si>
  <si>
    <t>Investments</t>
  </si>
  <si>
    <t>U17357273, interactive brockers account</t>
  </si>
  <si>
    <t>Other</t>
  </si>
  <si>
    <t>Shopping</t>
  </si>
  <si>
    <t>DIONICA VRBOVSKO-RIJEK, заплатив саші за дорогу в загреб</t>
  </si>
  <si>
    <t>Transfer for Ruslan</t>
  </si>
  <si>
    <t>CASH</t>
  </si>
  <si>
    <t>ERSTE</t>
  </si>
  <si>
    <t>REVOLUT</t>
  </si>
  <si>
    <t>MONOBANK</t>
  </si>
  <si>
    <t>STOCKS INVESTMENTS</t>
  </si>
  <si>
    <t>CRYPTO INVESTMENTS</t>
  </si>
  <si>
    <t>EMERGENCY FUND</t>
  </si>
  <si>
    <t>MOVING OUT FUND</t>
  </si>
  <si>
    <t>SPENT BY CATEGORIES</t>
  </si>
  <si>
    <t>Home</t>
  </si>
  <si>
    <t>Cash Withdrawals</t>
  </si>
  <si>
    <t>Travelling</t>
  </si>
  <si>
    <t>Total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</si>
</sst>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€-2]\ * #,##0.00_);_([$€-2]\ * \(#,##0.00\);_([$€-2]\ * &quot;-&quot;??_);_(@_)"/>
    <numFmt numFmtId="165" formatCode="_([$UAH]\ * #,##0.00_);_([$UAH]\ * \(#,##0.00\);_([$UAH]\ 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5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83CCEC"/>
        <bgColor rgb="FF000000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" fontId="0" fillId="0" borderId="0" xfId="0" applyNumberFormat="1"/>
    <xf numFmtId="16" fontId="3" fillId="0" borderId="0" xfId="0" applyNumberFormat="1" applyFont="1"/>
    <xf numFmtId="0" fontId="3" fillId="0" borderId="0" xfId="0" applyFont="1"/>
    <xf numFmtId="0" fontId="5" fillId="2" borderId="1" xfId="0" applyFont="1" applyFill="1" applyBorder="1"/>
    <xf numFmtId="164" fontId="5" fillId="2" borderId="3" xfId="0" applyNumberFormat="1" applyFont="1" applyFill="1" applyBorder="1"/>
    <xf numFmtId="0" fontId="5" fillId="2" borderId="4" xfId="0" applyFont="1" applyFill="1" applyBorder="1"/>
    <xf numFmtId="164" fontId="5" fillId="2" borderId="5" xfId="0" applyNumberFormat="1" applyFont="1" applyFill="1" applyBorder="1"/>
    <xf numFmtId="165" fontId="5" fillId="2" borderId="5" xfId="0" applyNumberFormat="1" applyFont="1" applyFill="1" applyBorder="1"/>
    <xf numFmtId="0" fontId="5" fillId="0" borderId="0" xfId="0" applyFont="1"/>
    <xf numFmtId="0" fontId="5" fillId="2" borderId="5" xfId="0" applyFont="1" applyFill="1" applyBorder="1"/>
    <xf numFmtId="44" fontId="5" fillId="2" borderId="5" xfId="0" applyNumberFormat="1" applyFont="1" applyFill="1" applyBorder="1"/>
    <xf numFmtId="0" fontId="5" fillId="2" borderId="2" xfId="0" applyFont="1" applyFill="1" applyBorder="1"/>
    <xf numFmtId="0" fontId="0" fillId="4" borderId="0" xfId="0" applyFill="1"/>
    <xf numFmtId="2" fontId="0" fillId="0" borderId="0" xfId="1" applyNumberFormat="1" applyFont="1"/>
    <xf numFmtId="44" fontId="0" fillId="0" borderId="0" xfId="0" applyNumberFormat="1"/>
    <xf numFmtId="0" fontId="6" fillId="3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3">
    <dxf>
      <numFmt numFmtId="21" formatCode="d\-mmm"/>
    </dxf>
    <dxf>
      <numFmt numFmtId="21" formatCode="d\-m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911834-05F1-E445-9D89-5DFD77EDA1D9}" name="Table1" displayName="Table1" ref="A1:F163" totalsRowCount="1" headerRowDxfId="2">
  <autoFilter ref="A1:F162" xr:uid="{00000000-0001-0000-0000-000000000000}">
    <filterColumn colId="3">
      <customFilters>
        <customFilter operator="notEqual" val=" "/>
      </customFilters>
    </filterColumn>
  </autoFilter>
  <tableColumns count="6">
    <tableColumn id="1" xr3:uid="{E64A15FA-6B6B-DC4C-9303-F8D9459630C2}" name="txn_date" dataDxfId="1" totalsRowDxfId="0"/>
    <tableColumn id="2" xr3:uid="{883B13D2-62E5-4E44-9166-5588B9CE0A22}" name="description"/>
    <tableColumn id="3" xr3:uid="{3CC87EA0-E63A-0B47-9EB7-4C1F903FE791}" name="amount" totalsRowFunction="custom">
      <totalsRowFormula>SUM(Table1[amount])</totalsRowFormula>
    </tableColumn>
    <tableColumn id="4" xr3:uid="{B664C9BB-446A-054A-B52B-2F124709EA5F}" name="category"/>
    <tableColumn id="5" xr3:uid="{AD057620-D1A6-814D-B0D4-682FDE57EA5E}" name="note"/>
    <tableColumn id="6" xr3:uid="{1CF6B61D-46E7-8A4F-94AD-D2DE4BD42E60}" name="typ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zoomScale="141" workbookViewId="0"/>
  </sheetViews>
  <sheetFormatPr baseColWidth="10" defaultColWidth="8.83203125" defaultRowHeight="15" x14ac:dyDescent="0.2"/>
  <cols>
    <col min="1" max="1" width="10.5" bestFit="1" customWidth="1"/>
    <col min="2" max="2" width="58.6640625" bestFit="1" customWidth="1"/>
    <col min="4" max="4" width="24.83203125" bestFit="1" customWidth="1"/>
    <col min="5" max="5" width="1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66</v>
      </c>
    </row>
    <row r="2" spans="1:6" x14ac:dyDescent="0.2">
      <c r="A2" t="s">
        <v>5</v>
      </c>
      <c r="B2" t="s">
        <v>6</v>
      </c>
      <c r="C2">
        <v>-4.8</v>
      </c>
      <c r="D2" t="s">
        <v>80</v>
      </c>
      <c r="F2" t="s">
        <v>67</v>
      </c>
    </row>
    <row r="3" spans="1:6" x14ac:dyDescent="0.2">
      <c r="A3" t="s">
        <v>7</v>
      </c>
      <c r="B3" t="s">
        <v>8</v>
      </c>
      <c r="C3">
        <v>10</v>
      </c>
      <c r="D3" t="s">
        <v>85</v>
      </c>
      <c r="F3" t="s">
        <v>67</v>
      </c>
    </row>
    <row r="4" spans="1:6" x14ac:dyDescent="0.2">
      <c r="A4" t="s">
        <v>7</v>
      </c>
      <c r="B4" t="s">
        <v>9</v>
      </c>
      <c r="C4">
        <v>-1.4</v>
      </c>
      <c r="D4" t="s">
        <v>81</v>
      </c>
      <c r="F4" t="s">
        <v>67</v>
      </c>
    </row>
    <row r="5" spans="1:6" x14ac:dyDescent="0.2">
      <c r="A5" t="s">
        <v>7</v>
      </c>
      <c r="B5" t="s">
        <v>9</v>
      </c>
      <c r="C5">
        <v>-0.85</v>
      </c>
      <c r="D5" t="s">
        <v>81</v>
      </c>
      <c r="F5" t="s">
        <v>67</v>
      </c>
    </row>
    <row r="6" spans="1:6" x14ac:dyDescent="0.2">
      <c r="A6" t="s">
        <v>10</v>
      </c>
      <c r="B6" t="s">
        <v>9</v>
      </c>
      <c r="C6">
        <v>-1.55</v>
      </c>
      <c r="D6" t="s">
        <v>81</v>
      </c>
      <c r="F6" t="s">
        <v>67</v>
      </c>
    </row>
    <row r="7" spans="1:6" x14ac:dyDescent="0.2">
      <c r="A7" t="s">
        <v>10</v>
      </c>
      <c r="B7" t="s">
        <v>11</v>
      </c>
      <c r="C7">
        <v>-2.58</v>
      </c>
      <c r="D7" t="s">
        <v>82</v>
      </c>
      <c r="F7" t="s">
        <v>67</v>
      </c>
    </row>
    <row r="8" spans="1:6" x14ac:dyDescent="0.2">
      <c r="A8" t="s">
        <v>10</v>
      </c>
      <c r="B8" t="s">
        <v>9</v>
      </c>
      <c r="C8">
        <v>-1.33</v>
      </c>
      <c r="D8" t="s">
        <v>81</v>
      </c>
      <c r="F8" t="s">
        <v>67</v>
      </c>
    </row>
    <row r="9" spans="1:6" x14ac:dyDescent="0.2">
      <c r="A9" t="s">
        <v>12</v>
      </c>
      <c r="B9" t="s">
        <v>13</v>
      </c>
      <c r="C9">
        <v>-1.99</v>
      </c>
      <c r="D9" t="s">
        <v>82</v>
      </c>
      <c r="F9" t="s">
        <v>67</v>
      </c>
    </row>
    <row r="10" spans="1:6" x14ac:dyDescent="0.2">
      <c r="A10" t="s">
        <v>12</v>
      </c>
      <c r="B10" t="s">
        <v>9</v>
      </c>
      <c r="C10">
        <v>-2.11</v>
      </c>
      <c r="D10" t="s">
        <v>81</v>
      </c>
      <c r="F10" t="s">
        <v>67</v>
      </c>
    </row>
    <row r="11" spans="1:6" x14ac:dyDescent="0.2">
      <c r="A11" t="s">
        <v>12</v>
      </c>
      <c r="B11" t="s">
        <v>6</v>
      </c>
      <c r="C11">
        <v>-0.8</v>
      </c>
      <c r="D11" t="s">
        <v>80</v>
      </c>
      <c r="F11" t="s">
        <v>67</v>
      </c>
    </row>
    <row r="12" spans="1:6" hidden="1" x14ac:dyDescent="0.2"/>
    <row r="13" spans="1:6" hidden="1" x14ac:dyDescent="0.2"/>
    <row r="14" spans="1:6" x14ac:dyDescent="0.2">
      <c r="A14" t="s">
        <v>14</v>
      </c>
      <c r="B14" t="s">
        <v>94</v>
      </c>
      <c r="C14">
        <v>25</v>
      </c>
      <c r="D14" t="s">
        <v>85</v>
      </c>
      <c r="F14" t="s">
        <v>67</v>
      </c>
    </row>
    <row r="15" spans="1:6" hidden="1" x14ac:dyDescent="0.2"/>
    <row r="16" spans="1:6" x14ac:dyDescent="0.2">
      <c r="A16" t="s">
        <v>14</v>
      </c>
      <c r="B16" t="s">
        <v>15</v>
      </c>
      <c r="C16">
        <v>-3.04</v>
      </c>
      <c r="D16" t="s">
        <v>83</v>
      </c>
      <c r="F16" t="s">
        <v>67</v>
      </c>
    </row>
    <row r="17" spans="1:6" x14ac:dyDescent="0.2">
      <c r="A17" t="s">
        <v>14</v>
      </c>
      <c r="B17" t="s">
        <v>16</v>
      </c>
      <c r="C17">
        <v>-1.66</v>
      </c>
      <c r="D17" t="s">
        <v>81</v>
      </c>
      <c r="F17" t="s">
        <v>67</v>
      </c>
    </row>
    <row r="18" spans="1:6" hidden="1" x14ac:dyDescent="0.2"/>
    <row r="19" spans="1:6" x14ac:dyDescent="0.2">
      <c r="A19" t="s">
        <v>17</v>
      </c>
      <c r="B19" t="s">
        <v>9</v>
      </c>
      <c r="C19">
        <v>-2.2200000000000002</v>
      </c>
      <c r="D19" t="s">
        <v>81</v>
      </c>
      <c r="F19" t="s">
        <v>67</v>
      </c>
    </row>
    <row r="20" spans="1:6" x14ac:dyDescent="0.2">
      <c r="A20" t="s">
        <v>17</v>
      </c>
      <c r="B20" t="s">
        <v>18</v>
      </c>
      <c r="C20">
        <v>-2.6</v>
      </c>
      <c r="D20" t="s">
        <v>81</v>
      </c>
      <c r="F20" t="s">
        <v>67</v>
      </c>
    </row>
    <row r="21" spans="1:6" x14ac:dyDescent="0.2">
      <c r="A21" t="s">
        <v>17</v>
      </c>
      <c r="B21" t="s">
        <v>11</v>
      </c>
      <c r="C21">
        <v>-1.18</v>
      </c>
      <c r="D21" t="s">
        <v>82</v>
      </c>
      <c r="F21" t="s">
        <v>67</v>
      </c>
    </row>
    <row r="22" spans="1:6" hidden="1" x14ac:dyDescent="0.2"/>
    <row r="23" spans="1:6" hidden="1" x14ac:dyDescent="0.2"/>
    <row r="24" spans="1:6" hidden="1" x14ac:dyDescent="0.2"/>
    <row r="25" spans="1:6" hidden="1" x14ac:dyDescent="0.2"/>
    <row r="26" spans="1:6" hidden="1" x14ac:dyDescent="0.2"/>
    <row r="27" spans="1:6" hidden="1" x14ac:dyDescent="0.2"/>
    <row r="28" spans="1:6" x14ac:dyDescent="0.2">
      <c r="A28" t="s">
        <v>19</v>
      </c>
      <c r="B28" t="s">
        <v>20</v>
      </c>
      <c r="C28">
        <v>120</v>
      </c>
      <c r="D28" t="s">
        <v>85</v>
      </c>
      <c r="F28" t="s">
        <v>67</v>
      </c>
    </row>
    <row r="29" spans="1:6" hidden="1" x14ac:dyDescent="0.2"/>
    <row r="30" spans="1:6" hidden="1" x14ac:dyDescent="0.2"/>
    <row r="31" spans="1:6" x14ac:dyDescent="0.2">
      <c r="A31" t="s">
        <v>19</v>
      </c>
      <c r="B31" t="s">
        <v>21</v>
      </c>
      <c r="C31">
        <v>-1.02</v>
      </c>
      <c r="D31" t="s">
        <v>82</v>
      </c>
      <c r="F31" t="s">
        <v>67</v>
      </c>
    </row>
    <row r="32" spans="1:6" hidden="1" x14ac:dyDescent="0.2"/>
    <row r="33" spans="1:6" x14ac:dyDescent="0.2">
      <c r="A33" t="s">
        <v>22</v>
      </c>
      <c r="B33" t="s">
        <v>21</v>
      </c>
      <c r="C33">
        <v>-1.02</v>
      </c>
      <c r="D33" t="s">
        <v>82</v>
      </c>
      <c r="F33" t="s">
        <v>67</v>
      </c>
    </row>
    <row r="34" spans="1:6" x14ac:dyDescent="0.2">
      <c r="A34" t="s">
        <v>22</v>
      </c>
      <c r="B34" t="s">
        <v>23</v>
      </c>
      <c r="C34">
        <v>-2.95</v>
      </c>
      <c r="D34" t="s">
        <v>86</v>
      </c>
      <c r="F34" t="s">
        <v>67</v>
      </c>
    </row>
    <row r="35" spans="1:6" x14ac:dyDescent="0.2">
      <c r="A35" t="s">
        <v>22</v>
      </c>
      <c r="B35" t="s">
        <v>9</v>
      </c>
      <c r="C35">
        <v>-0.76</v>
      </c>
      <c r="D35" t="s">
        <v>81</v>
      </c>
      <c r="F35" t="s">
        <v>67</v>
      </c>
    </row>
    <row r="36" spans="1:6" x14ac:dyDescent="0.2">
      <c r="A36" t="s">
        <v>22</v>
      </c>
      <c r="B36" t="s">
        <v>9</v>
      </c>
      <c r="C36">
        <v>-1.5</v>
      </c>
      <c r="D36" t="s">
        <v>81</v>
      </c>
      <c r="F36" t="s">
        <v>67</v>
      </c>
    </row>
    <row r="37" spans="1:6" x14ac:dyDescent="0.2">
      <c r="A37" t="s">
        <v>22</v>
      </c>
      <c r="B37" t="s">
        <v>24</v>
      </c>
      <c r="C37">
        <v>-8.7799999999999994</v>
      </c>
      <c r="D37" t="s">
        <v>88</v>
      </c>
      <c r="E37" t="s">
        <v>87</v>
      </c>
      <c r="F37" t="s">
        <v>67</v>
      </c>
    </row>
    <row r="38" spans="1:6" x14ac:dyDescent="0.2">
      <c r="A38" t="s">
        <v>22</v>
      </c>
      <c r="B38" t="s">
        <v>25</v>
      </c>
      <c r="C38">
        <v>-20.05</v>
      </c>
      <c r="D38" t="s">
        <v>80</v>
      </c>
      <c r="F38" t="s">
        <v>67</v>
      </c>
    </row>
    <row r="39" spans="1:6" x14ac:dyDescent="0.2">
      <c r="A39" t="s">
        <v>22</v>
      </c>
      <c r="B39" t="s">
        <v>20</v>
      </c>
      <c r="C39">
        <v>85</v>
      </c>
      <c r="D39" t="s">
        <v>85</v>
      </c>
      <c r="F39" t="s">
        <v>67</v>
      </c>
    </row>
    <row r="40" spans="1:6" x14ac:dyDescent="0.2">
      <c r="A40" t="s">
        <v>22</v>
      </c>
      <c r="B40" t="s">
        <v>26</v>
      </c>
      <c r="C40">
        <v>-1.5</v>
      </c>
      <c r="D40" t="s">
        <v>80</v>
      </c>
      <c r="F40" t="s">
        <v>67</v>
      </c>
    </row>
    <row r="41" spans="1:6" x14ac:dyDescent="0.2">
      <c r="A41" t="s">
        <v>27</v>
      </c>
      <c r="B41" t="s">
        <v>28</v>
      </c>
      <c r="C41">
        <v>-1.06</v>
      </c>
      <c r="D41" t="s">
        <v>81</v>
      </c>
      <c r="F41" t="s">
        <v>67</v>
      </c>
    </row>
    <row r="42" spans="1:6" x14ac:dyDescent="0.2">
      <c r="A42" t="s">
        <v>27</v>
      </c>
      <c r="B42" t="s">
        <v>9</v>
      </c>
      <c r="C42">
        <v>-1.27</v>
      </c>
      <c r="D42" t="s">
        <v>81</v>
      </c>
      <c r="F42" t="s">
        <v>67</v>
      </c>
    </row>
    <row r="43" spans="1:6" hidden="1" x14ac:dyDescent="0.2"/>
    <row r="44" spans="1:6" x14ac:dyDescent="0.2">
      <c r="A44" t="s">
        <v>27</v>
      </c>
      <c r="B44" t="s">
        <v>29</v>
      </c>
      <c r="C44">
        <v>-3.13</v>
      </c>
      <c r="D44" t="s">
        <v>82</v>
      </c>
      <c r="F44" t="s">
        <v>67</v>
      </c>
    </row>
    <row r="45" spans="1:6" x14ac:dyDescent="0.2">
      <c r="A45" t="s">
        <v>30</v>
      </c>
      <c r="B45" t="s">
        <v>25</v>
      </c>
      <c r="C45">
        <v>-10.029999999999999</v>
      </c>
      <c r="D45" t="s">
        <v>80</v>
      </c>
      <c r="F45" t="s">
        <v>67</v>
      </c>
    </row>
    <row r="46" spans="1:6" x14ac:dyDescent="0.2">
      <c r="A46" t="s">
        <v>30</v>
      </c>
      <c r="B46" t="s">
        <v>31</v>
      </c>
      <c r="C46">
        <v>-7.4</v>
      </c>
      <c r="D46" t="s">
        <v>86</v>
      </c>
      <c r="F46" t="s">
        <v>67</v>
      </c>
    </row>
    <row r="47" spans="1:6" x14ac:dyDescent="0.2">
      <c r="A47" t="s">
        <v>30</v>
      </c>
      <c r="B47" t="s">
        <v>20</v>
      </c>
      <c r="C47">
        <v>50</v>
      </c>
      <c r="D47" t="s">
        <v>85</v>
      </c>
      <c r="F47" t="s">
        <v>67</v>
      </c>
    </row>
    <row r="48" spans="1:6" x14ac:dyDescent="0.2">
      <c r="A48" t="s">
        <v>30</v>
      </c>
      <c r="B48" t="s">
        <v>9</v>
      </c>
      <c r="C48">
        <v>-1.45</v>
      </c>
      <c r="D48" t="s">
        <v>81</v>
      </c>
      <c r="F48" t="s">
        <v>67</v>
      </c>
    </row>
    <row r="49" spans="1:6" x14ac:dyDescent="0.2">
      <c r="A49" t="s">
        <v>30</v>
      </c>
      <c r="B49" t="s">
        <v>32</v>
      </c>
      <c r="C49">
        <v>-1.99</v>
      </c>
      <c r="D49" t="s">
        <v>82</v>
      </c>
      <c r="F49" t="s">
        <v>67</v>
      </c>
    </row>
    <row r="50" spans="1:6" x14ac:dyDescent="0.2">
      <c r="A50" t="s">
        <v>30</v>
      </c>
      <c r="B50" t="s">
        <v>33</v>
      </c>
      <c r="C50">
        <v>-6.49</v>
      </c>
      <c r="D50" t="s">
        <v>83</v>
      </c>
      <c r="F50" t="s">
        <v>67</v>
      </c>
    </row>
    <row r="51" spans="1:6" hidden="1" x14ac:dyDescent="0.2"/>
    <row r="52" spans="1:6" x14ac:dyDescent="0.2">
      <c r="A52" t="s">
        <v>30</v>
      </c>
      <c r="B52" t="s">
        <v>34</v>
      </c>
      <c r="C52">
        <v>-5.37</v>
      </c>
      <c r="D52" t="s">
        <v>82</v>
      </c>
      <c r="F52" t="s">
        <v>67</v>
      </c>
    </row>
    <row r="53" spans="1:6" x14ac:dyDescent="0.2">
      <c r="A53" t="s">
        <v>30</v>
      </c>
      <c r="B53" t="s">
        <v>9</v>
      </c>
      <c r="C53">
        <v>-0.95</v>
      </c>
      <c r="D53" t="s">
        <v>81</v>
      </c>
      <c r="F53" t="s">
        <v>67</v>
      </c>
    </row>
    <row r="54" spans="1:6" x14ac:dyDescent="0.2">
      <c r="A54" t="s">
        <v>35</v>
      </c>
      <c r="B54" t="s">
        <v>9</v>
      </c>
      <c r="C54">
        <v>-2</v>
      </c>
      <c r="D54" t="s">
        <v>81</v>
      </c>
      <c r="F54" t="s">
        <v>67</v>
      </c>
    </row>
    <row r="55" spans="1:6" x14ac:dyDescent="0.2">
      <c r="A55" t="s">
        <v>35</v>
      </c>
      <c r="B55" t="s">
        <v>9</v>
      </c>
      <c r="C55">
        <v>-0.72</v>
      </c>
      <c r="D55" t="s">
        <v>81</v>
      </c>
      <c r="F55" t="s">
        <v>67</v>
      </c>
    </row>
    <row r="56" spans="1:6" hidden="1" x14ac:dyDescent="0.2"/>
    <row r="57" spans="1:6" hidden="1" x14ac:dyDescent="0.2"/>
    <row r="58" spans="1:6" hidden="1" x14ac:dyDescent="0.2"/>
    <row r="59" spans="1:6" hidden="1" x14ac:dyDescent="0.2"/>
    <row r="60" spans="1:6" x14ac:dyDescent="0.2">
      <c r="A60" t="s">
        <v>35</v>
      </c>
      <c r="B60" t="s">
        <v>36</v>
      </c>
      <c r="C60">
        <v>-2.2999999999999998</v>
      </c>
      <c r="D60" t="s">
        <v>86</v>
      </c>
      <c r="F60" t="s">
        <v>67</v>
      </c>
    </row>
    <row r="61" spans="1:6" x14ac:dyDescent="0.2">
      <c r="A61" t="s">
        <v>37</v>
      </c>
      <c r="B61" t="s">
        <v>36</v>
      </c>
      <c r="C61">
        <v>-2.2999999999999998</v>
      </c>
      <c r="D61" t="s">
        <v>86</v>
      </c>
      <c r="F61" t="s">
        <v>67</v>
      </c>
    </row>
    <row r="62" spans="1:6" hidden="1" x14ac:dyDescent="0.2"/>
    <row r="63" spans="1:6" x14ac:dyDescent="0.2">
      <c r="A63" t="s">
        <v>37</v>
      </c>
      <c r="B63" t="s">
        <v>38</v>
      </c>
      <c r="C63">
        <v>-2.54</v>
      </c>
      <c r="D63" t="s">
        <v>82</v>
      </c>
      <c r="F63" t="s">
        <v>67</v>
      </c>
    </row>
    <row r="64" spans="1:6" x14ac:dyDescent="0.2">
      <c r="A64" t="s">
        <v>37</v>
      </c>
      <c r="B64" t="s">
        <v>9</v>
      </c>
      <c r="C64">
        <v>-2.09</v>
      </c>
      <c r="D64" t="s">
        <v>81</v>
      </c>
      <c r="F64" t="s">
        <v>67</v>
      </c>
    </row>
    <row r="65" spans="1:6" x14ac:dyDescent="0.2">
      <c r="A65" t="s">
        <v>37</v>
      </c>
      <c r="B65" t="s">
        <v>25</v>
      </c>
      <c r="C65">
        <v>-15.02</v>
      </c>
      <c r="D65" t="s">
        <v>80</v>
      </c>
      <c r="F65" t="s">
        <v>67</v>
      </c>
    </row>
    <row r="66" spans="1:6" x14ac:dyDescent="0.2">
      <c r="A66" t="s">
        <v>39</v>
      </c>
      <c r="B66" t="s">
        <v>20</v>
      </c>
      <c r="C66">
        <v>250</v>
      </c>
      <c r="D66" t="s">
        <v>85</v>
      </c>
      <c r="F66" t="s">
        <v>67</v>
      </c>
    </row>
    <row r="67" spans="1:6" x14ac:dyDescent="0.2">
      <c r="A67" t="s">
        <v>39</v>
      </c>
      <c r="B67" t="s">
        <v>25</v>
      </c>
      <c r="C67">
        <v>-10.11</v>
      </c>
      <c r="D67" t="s">
        <v>80</v>
      </c>
      <c r="F67" t="s">
        <v>67</v>
      </c>
    </row>
    <row r="68" spans="1:6" hidden="1" x14ac:dyDescent="0.2"/>
    <row r="69" spans="1:6" x14ac:dyDescent="0.2">
      <c r="A69" t="s">
        <v>40</v>
      </c>
      <c r="B69" t="s">
        <v>90</v>
      </c>
      <c r="C69">
        <v>-50</v>
      </c>
      <c r="D69" t="s">
        <v>89</v>
      </c>
      <c r="F69" t="s">
        <v>67</v>
      </c>
    </row>
    <row r="70" spans="1:6" x14ac:dyDescent="0.2">
      <c r="A70" t="s">
        <v>40</v>
      </c>
      <c r="B70" t="s">
        <v>41</v>
      </c>
      <c r="C70">
        <v>-7.8</v>
      </c>
      <c r="D70" t="s">
        <v>81</v>
      </c>
      <c r="F70" t="s">
        <v>67</v>
      </c>
    </row>
    <row r="71" spans="1:6" x14ac:dyDescent="0.2">
      <c r="A71" t="s">
        <v>40</v>
      </c>
      <c r="B71" t="s">
        <v>9</v>
      </c>
      <c r="C71">
        <v>-1.29</v>
      </c>
      <c r="D71" t="s">
        <v>81</v>
      </c>
      <c r="F71" t="s">
        <v>67</v>
      </c>
    </row>
    <row r="72" spans="1:6" x14ac:dyDescent="0.2">
      <c r="A72" t="s">
        <v>40</v>
      </c>
      <c r="B72" t="s">
        <v>9</v>
      </c>
      <c r="C72">
        <v>-1.33</v>
      </c>
      <c r="D72" t="s">
        <v>81</v>
      </c>
      <c r="F72" t="s">
        <v>67</v>
      </c>
    </row>
    <row r="73" spans="1:6" hidden="1" x14ac:dyDescent="0.2"/>
    <row r="74" spans="1:6" hidden="1" x14ac:dyDescent="0.2"/>
    <row r="75" spans="1:6" x14ac:dyDescent="0.2">
      <c r="A75" t="s">
        <v>42</v>
      </c>
      <c r="B75" t="s">
        <v>43</v>
      </c>
      <c r="C75">
        <v>-0.41</v>
      </c>
      <c r="D75" t="s">
        <v>91</v>
      </c>
      <c r="F75" t="s">
        <v>67</v>
      </c>
    </row>
    <row r="76" spans="1:6" hidden="1" x14ac:dyDescent="0.2"/>
    <row r="77" spans="1:6" hidden="1" x14ac:dyDescent="0.2"/>
    <row r="78" spans="1:6" x14ac:dyDescent="0.2">
      <c r="A78" t="s">
        <v>42</v>
      </c>
      <c r="B78" t="s">
        <v>44</v>
      </c>
      <c r="C78">
        <v>-41.33</v>
      </c>
      <c r="D78" t="s">
        <v>92</v>
      </c>
      <c r="F78" t="s">
        <v>67</v>
      </c>
    </row>
    <row r="79" spans="1:6" x14ac:dyDescent="0.2">
      <c r="A79" t="s">
        <v>42</v>
      </c>
      <c r="B79" t="s">
        <v>45</v>
      </c>
      <c r="C79">
        <v>-2.6</v>
      </c>
      <c r="D79" t="s">
        <v>86</v>
      </c>
      <c r="F79" t="s">
        <v>67</v>
      </c>
    </row>
    <row r="80" spans="1:6" x14ac:dyDescent="0.2">
      <c r="A80" t="s">
        <v>42</v>
      </c>
      <c r="B80" t="s">
        <v>45</v>
      </c>
      <c r="C80">
        <v>-2.9</v>
      </c>
      <c r="D80" t="s">
        <v>86</v>
      </c>
      <c r="F80" t="s">
        <v>67</v>
      </c>
    </row>
    <row r="81" spans="1:6" x14ac:dyDescent="0.2">
      <c r="A81" t="s">
        <v>46</v>
      </c>
      <c r="B81" t="s">
        <v>9</v>
      </c>
      <c r="C81">
        <v>-1.07</v>
      </c>
      <c r="D81" t="s">
        <v>81</v>
      </c>
      <c r="F81" t="s">
        <v>67</v>
      </c>
    </row>
    <row r="82" spans="1:6" hidden="1" x14ac:dyDescent="0.2"/>
    <row r="83" spans="1:6" x14ac:dyDescent="0.2">
      <c r="A83" t="s">
        <v>47</v>
      </c>
      <c r="B83" t="s">
        <v>41</v>
      </c>
      <c r="C83">
        <v>-8.1999999999999993</v>
      </c>
      <c r="D83" t="s">
        <v>81</v>
      </c>
      <c r="F83" t="s">
        <v>67</v>
      </c>
    </row>
    <row r="84" spans="1:6" hidden="1" x14ac:dyDescent="0.2"/>
    <row r="85" spans="1:6" hidden="1" x14ac:dyDescent="0.2"/>
    <row r="86" spans="1:6" x14ac:dyDescent="0.2">
      <c r="A86" t="s">
        <v>48</v>
      </c>
      <c r="B86" t="s">
        <v>49</v>
      </c>
      <c r="C86">
        <v>-3.94</v>
      </c>
      <c r="D86" t="s">
        <v>82</v>
      </c>
      <c r="F86" t="s">
        <v>67</v>
      </c>
    </row>
    <row r="87" spans="1:6" x14ac:dyDescent="0.2">
      <c r="A87" t="s">
        <v>48</v>
      </c>
      <c r="B87" t="s">
        <v>93</v>
      </c>
      <c r="C87">
        <v>-8.81</v>
      </c>
      <c r="D87" t="s">
        <v>80</v>
      </c>
      <c r="F87" t="s">
        <v>67</v>
      </c>
    </row>
    <row r="88" spans="1:6" x14ac:dyDescent="0.2">
      <c r="A88" t="s">
        <v>50</v>
      </c>
      <c r="B88" t="s">
        <v>51</v>
      </c>
      <c r="C88">
        <v>-1.75</v>
      </c>
      <c r="D88" t="s">
        <v>82</v>
      </c>
      <c r="F88" t="s">
        <v>67</v>
      </c>
    </row>
    <row r="89" spans="1:6" hidden="1" x14ac:dyDescent="0.2"/>
    <row r="90" spans="1:6" hidden="1" x14ac:dyDescent="0.2"/>
    <row r="91" spans="1:6" x14ac:dyDescent="0.2">
      <c r="A91" t="s">
        <v>52</v>
      </c>
      <c r="B91" t="s">
        <v>20</v>
      </c>
      <c r="C91">
        <v>110</v>
      </c>
      <c r="D91" t="s">
        <v>85</v>
      </c>
      <c r="F91" t="s">
        <v>67</v>
      </c>
    </row>
    <row r="92" spans="1:6" hidden="1" x14ac:dyDescent="0.2"/>
    <row r="93" spans="1:6" hidden="1" x14ac:dyDescent="0.2"/>
    <row r="94" spans="1:6" x14ac:dyDescent="0.2">
      <c r="A94" t="s">
        <v>53</v>
      </c>
      <c r="B94" t="s">
        <v>9</v>
      </c>
      <c r="C94">
        <v>-2.27</v>
      </c>
      <c r="D94" t="s">
        <v>81</v>
      </c>
      <c r="F94" t="s">
        <v>67</v>
      </c>
    </row>
    <row r="95" spans="1:6" x14ac:dyDescent="0.2">
      <c r="A95" t="s">
        <v>53</v>
      </c>
      <c r="B95" t="s">
        <v>34</v>
      </c>
      <c r="C95">
        <v>-1.93</v>
      </c>
      <c r="D95" t="s">
        <v>82</v>
      </c>
      <c r="F95" t="s">
        <v>67</v>
      </c>
    </row>
    <row r="96" spans="1:6" x14ac:dyDescent="0.2">
      <c r="A96" t="s">
        <v>53</v>
      </c>
      <c r="B96" t="s">
        <v>11</v>
      </c>
      <c r="C96">
        <v>-4.5999999999999996</v>
      </c>
      <c r="D96" t="s">
        <v>82</v>
      </c>
      <c r="F96" t="s">
        <v>67</v>
      </c>
    </row>
    <row r="97" spans="1:6" x14ac:dyDescent="0.2">
      <c r="A97" t="s">
        <v>53</v>
      </c>
      <c r="B97" t="s">
        <v>9</v>
      </c>
      <c r="C97">
        <v>-3.03</v>
      </c>
      <c r="D97" t="s">
        <v>81</v>
      </c>
      <c r="F97" t="s">
        <v>67</v>
      </c>
    </row>
    <row r="98" spans="1:6" x14ac:dyDescent="0.2">
      <c r="A98" t="s">
        <v>53</v>
      </c>
      <c r="B98" t="s">
        <v>9</v>
      </c>
      <c r="C98">
        <v>-1</v>
      </c>
      <c r="D98" t="s">
        <v>81</v>
      </c>
      <c r="F98" t="s">
        <v>67</v>
      </c>
    </row>
    <row r="99" spans="1:6" hidden="1" x14ac:dyDescent="0.2"/>
    <row r="100" spans="1:6" hidden="1" x14ac:dyDescent="0.2"/>
    <row r="101" spans="1:6" x14ac:dyDescent="0.2">
      <c r="A101" t="s">
        <v>53</v>
      </c>
      <c r="B101" t="s">
        <v>9</v>
      </c>
      <c r="C101">
        <v>-1.3</v>
      </c>
      <c r="D101" t="s">
        <v>81</v>
      </c>
      <c r="F101" t="s">
        <v>67</v>
      </c>
    </row>
    <row r="102" spans="1:6" hidden="1" x14ac:dyDescent="0.2"/>
    <row r="103" spans="1:6" hidden="1" x14ac:dyDescent="0.2"/>
    <row r="104" spans="1:6" hidden="1" x14ac:dyDescent="0.2"/>
    <row r="105" spans="1:6" hidden="1" x14ac:dyDescent="0.2"/>
    <row r="106" spans="1:6" hidden="1" x14ac:dyDescent="0.2"/>
    <row r="107" spans="1:6" hidden="1" x14ac:dyDescent="0.2"/>
    <row r="108" spans="1:6" hidden="1" x14ac:dyDescent="0.2"/>
    <row r="109" spans="1:6" hidden="1" x14ac:dyDescent="0.2"/>
    <row r="110" spans="1:6" hidden="1" x14ac:dyDescent="0.2"/>
    <row r="111" spans="1:6" hidden="1" x14ac:dyDescent="0.2"/>
    <row r="112" spans="1:6" hidden="1" x14ac:dyDescent="0.2"/>
    <row r="113" spans="1:6" hidden="1" x14ac:dyDescent="0.2"/>
    <row r="114" spans="1:6" x14ac:dyDescent="0.2">
      <c r="A114" t="s">
        <v>54</v>
      </c>
      <c r="B114" t="s">
        <v>9</v>
      </c>
      <c r="C114">
        <v>-1.35</v>
      </c>
      <c r="D114" s="5" t="s">
        <v>81</v>
      </c>
      <c r="F114" t="s">
        <v>67</v>
      </c>
    </row>
    <row r="115" spans="1:6" hidden="1" x14ac:dyDescent="0.2"/>
    <row r="116" spans="1:6" x14ac:dyDescent="0.2">
      <c r="A116" t="s">
        <v>54</v>
      </c>
      <c r="B116" t="s">
        <v>55</v>
      </c>
      <c r="C116">
        <v>-0.8</v>
      </c>
      <c r="D116" t="s">
        <v>91</v>
      </c>
      <c r="F116" t="s">
        <v>67</v>
      </c>
    </row>
    <row r="117" spans="1:6" x14ac:dyDescent="0.2">
      <c r="A117" t="s">
        <v>54</v>
      </c>
      <c r="B117" t="s">
        <v>56</v>
      </c>
      <c r="C117">
        <v>-1.2</v>
      </c>
      <c r="D117" t="s">
        <v>82</v>
      </c>
      <c r="F117" t="s">
        <v>67</v>
      </c>
    </row>
    <row r="118" spans="1:6" x14ac:dyDescent="0.2">
      <c r="A118" t="s">
        <v>54</v>
      </c>
      <c r="B118" t="s">
        <v>9</v>
      </c>
      <c r="C118">
        <v>-0.3</v>
      </c>
      <c r="D118" t="s">
        <v>81</v>
      </c>
      <c r="F118" t="s">
        <v>67</v>
      </c>
    </row>
    <row r="119" spans="1:6" x14ac:dyDescent="0.2">
      <c r="A119" t="s">
        <v>54</v>
      </c>
      <c r="B119" t="s">
        <v>9</v>
      </c>
      <c r="C119">
        <v>-1.44</v>
      </c>
      <c r="D119" t="s">
        <v>81</v>
      </c>
      <c r="F119" t="s">
        <v>67</v>
      </c>
    </row>
    <row r="120" spans="1:6" x14ac:dyDescent="0.2">
      <c r="A120" t="s">
        <v>54</v>
      </c>
      <c r="B120" t="s">
        <v>9</v>
      </c>
      <c r="C120">
        <v>-1.41</v>
      </c>
      <c r="D120" t="s">
        <v>81</v>
      </c>
      <c r="F120" t="s">
        <v>67</v>
      </c>
    </row>
    <row r="121" spans="1:6" x14ac:dyDescent="0.2">
      <c r="A121" t="s">
        <v>54</v>
      </c>
      <c r="B121" t="s">
        <v>36</v>
      </c>
      <c r="C121">
        <v>-2.2999999999999998</v>
      </c>
      <c r="D121" t="s">
        <v>86</v>
      </c>
      <c r="F121" t="s">
        <v>67</v>
      </c>
    </row>
    <row r="122" spans="1:6" hidden="1" x14ac:dyDescent="0.2"/>
    <row r="123" spans="1:6" x14ac:dyDescent="0.2">
      <c r="A123" t="s">
        <v>57</v>
      </c>
      <c r="B123" t="s">
        <v>34</v>
      </c>
      <c r="C123">
        <v>-5.32</v>
      </c>
      <c r="D123" t="s">
        <v>82</v>
      </c>
      <c r="F123" t="s">
        <v>67</v>
      </c>
    </row>
    <row r="124" spans="1:6" x14ac:dyDescent="0.2">
      <c r="A124" t="s">
        <v>57</v>
      </c>
      <c r="B124" t="s">
        <v>58</v>
      </c>
      <c r="C124">
        <v>-15.07</v>
      </c>
      <c r="D124" t="s">
        <v>80</v>
      </c>
      <c r="F124" t="s">
        <v>67</v>
      </c>
    </row>
    <row r="125" spans="1:6" x14ac:dyDescent="0.2">
      <c r="A125" t="s">
        <v>57</v>
      </c>
      <c r="B125" t="s">
        <v>59</v>
      </c>
      <c r="C125">
        <v>-2.2200000000000002</v>
      </c>
      <c r="D125" t="s">
        <v>91</v>
      </c>
      <c r="F125" t="s">
        <v>67</v>
      </c>
    </row>
    <row r="126" spans="1:6" x14ac:dyDescent="0.2">
      <c r="A126" t="s">
        <v>57</v>
      </c>
      <c r="B126" t="s">
        <v>9</v>
      </c>
      <c r="C126">
        <v>-1.56</v>
      </c>
      <c r="D126" t="s">
        <v>81</v>
      </c>
      <c r="F126" t="s">
        <v>67</v>
      </c>
    </row>
    <row r="127" spans="1:6" x14ac:dyDescent="0.2">
      <c r="A127" t="s">
        <v>57</v>
      </c>
      <c r="B127" t="s">
        <v>6</v>
      </c>
      <c r="C127">
        <v>-2</v>
      </c>
      <c r="D127" t="s">
        <v>80</v>
      </c>
      <c r="F127" t="s">
        <v>67</v>
      </c>
    </row>
    <row r="128" spans="1:6" x14ac:dyDescent="0.2">
      <c r="A128" t="s">
        <v>57</v>
      </c>
      <c r="B128" t="s">
        <v>21</v>
      </c>
      <c r="C128">
        <v>-4.53</v>
      </c>
      <c r="D128" t="s">
        <v>82</v>
      </c>
      <c r="F128" t="s">
        <v>67</v>
      </c>
    </row>
    <row r="129" spans="1:6" hidden="1" x14ac:dyDescent="0.2"/>
    <row r="130" spans="1:6" hidden="1" x14ac:dyDescent="0.2"/>
    <row r="131" spans="1:6" x14ac:dyDescent="0.2">
      <c r="A131" t="s">
        <v>60</v>
      </c>
      <c r="B131" t="s">
        <v>9</v>
      </c>
      <c r="C131">
        <v>-1.4</v>
      </c>
      <c r="D131" t="s">
        <v>81</v>
      </c>
      <c r="F131" t="s">
        <v>67</v>
      </c>
    </row>
    <row r="132" spans="1:6" x14ac:dyDescent="0.2">
      <c r="A132" t="s">
        <v>60</v>
      </c>
      <c r="B132" t="s">
        <v>25</v>
      </c>
      <c r="C132">
        <v>-10.08</v>
      </c>
      <c r="D132" t="s">
        <v>80</v>
      </c>
      <c r="F132" t="s">
        <v>67</v>
      </c>
    </row>
    <row r="133" spans="1:6" x14ac:dyDescent="0.2">
      <c r="A133" t="s">
        <v>60</v>
      </c>
      <c r="B133" t="s">
        <v>61</v>
      </c>
      <c r="C133">
        <v>-0.85</v>
      </c>
      <c r="D133" t="s">
        <v>82</v>
      </c>
      <c r="F133" t="s">
        <v>67</v>
      </c>
    </row>
    <row r="134" spans="1:6" x14ac:dyDescent="0.2">
      <c r="A134" t="s">
        <v>60</v>
      </c>
      <c r="B134" t="s">
        <v>62</v>
      </c>
      <c r="C134">
        <v>-1.88</v>
      </c>
      <c r="D134" t="s">
        <v>82</v>
      </c>
      <c r="F134" t="s">
        <v>67</v>
      </c>
    </row>
    <row r="135" spans="1:6" hidden="1" x14ac:dyDescent="0.2"/>
    <row r="136" spans="1:6" hidden="1" x14ac:dyDescent="0.2"/>
    <row r="137" spans="1:6" hidden="1" x14ac:dyDescent="0.2"/>
    <row r="138" spans="1:6" hidden="1" x14ac:dyDescent="0.2"/>
    <row r="139" spans="1:6" hidden="1" x14ac:dyDescent="0.2"/>
    <row r="140" spans="1:6" hidden="1" x14ac:dyDescent="0.2"/>
    <row r="141" spans="1:6" hidden="1" x14ac:dyDescent="0.2"/>
    <row r="142" spans="1:6" x14ac:dyDescent="0.2">
      <c r="A142" t="s">
        <v>63</v>
      </c>
      <c r="B142" t="s">
        <v>64</v>
      </c>
      <c r="C142">
        <v>-12.3</v>
      </c>
      <c r="D142" t="s">
        <v>81</v>
      </c>
      <c r="F142" t="s">
        <v>67</v>
      </c>
    </row>
    <row r="143" spans="1:6" hidden="1" x14ac:dyDescent="0.2"/>
    <row r="144" spans="1:6" hidden="1" x14ac:dyDescent="0.2"/>
    <row r="145" spans="1:6" hidden="1" x14ac:dyDescent="0.2"/>
    <row r="146" spans="1:6" hidden="1" x14ac:dyDescent="0.2"/>
    <row r="147" spans="1:6" x14ac:dyDescent="0.2">
      <c r="A147" t="s">
        <v>63</v>
      </c>
      <c r="B147" t="s">
        <v>34</v>
      </c>
      <c r="C147">
        <v>-3.38</v>
      </c>
      <c r="D147" t="s">
        <v>82</v>
      </c>
      <c r="F147" t="s">
        <v>67</v>
      </c>
    </row>
    <row r="148" spans="1:6" x14ac:dyDescent="0.2">
      <c r="A148" t="s">
        <v>63</v>
      </c>
      <c r="B148" t="s">
        <v>65</v>
      </c>
      <c r="C148">
        <v>-2.2999999999999998</v>
      </c>
      <c r="D148" t="s">
        <v>86</v>
      </c>
      <c r="F148" t="s">
        <v>67</v>
      </c>
    </row>
    <row r="149" spans="1:6" x14ac:dyDescent="0.2">
      <c r="A149" s="3">
        <v>45810</v>
      </c>
      <c r="B149" t="s">
        <v>65</v>
      </c>
      <c r="C149">
        <v>-3</v>
      </c>
      <c r="D149" t="s">
        <v>86</v>
      </c>
      <c r="F149" t="s">
        <v>79</v>
      </c>
    </row>
    <row r="150" spans="1:6" x14ac:dyDescent="0.2">
      <c r="A150" s="3">
        <v>45810</v>
      </c>
      <c r="B150" t="s">
        <v>68</v>
      </c>
      <c r="C150">
        <v>-5</v>
      </c>
      <c r="D150" t="s">
        <v>86</v>
      </c>
      <c r="F150" t="s">
        <v>79</v>
      </c>
    </row>
    <row r="151" spans="1:6" x14ac:dyDescent="0.2">
      <c r="A151" s="3">
        <v>45816</v>
      </c>
      <c r="B151" t="s">
        <v>69</v>
      </c>
      <c r="C151">
        <v>-10</v>
      </c>
      <c r="D151" t="s">
        <v>91</v>
      </c>
      <c r="F151" t="s">
        <v>79</v>
      </c>
    </row>
    <row r="152" spans="1:6" x14ac:dyDescent="0.2">
      <c r="A152" s="4">
        <v>45817</v>
      </c>
      <c r="B152" s="5" t="s">
        <v>65</v>
      </c>
      <c r="C152" s="5">
        <v>-3</v>
      </c>
      <c r="D152" t="s">
        <v>86</v>
      </c>
      <c r="F152" t="s">
        <v>79</v>
      </c>
    </row>
    <row r="153" spans="1:6" x14ac:dyDescent="0.2">
      <c r="A153" s="3">
        <v>45818</v>
      </c>
      <c r="B153" t="s">
        <v>70</v>
      </c>
      <c r="C153">
        <v>10</v>
      </c>
      <c r="D153" t="s">
        <v>80</v>
      </c>
      <c r="F153" t="s">
        <v>79</v>
      </c>
    </row>
    <row r="154" spans="1:6" x14ac:dyDescent="0.2">
      <c r="A154" s="3">
        <v>45818</v>
      </c>
      <c r="B154" t="s">
        <v>71</v>
      </c>
      <c r="C154">
        <v>20</v>
      </c>
      <c r="D154" t="s">
        <v>85</v>
      </c>
      <c r="F154" t="s">
        <v>79</v>
      </c>
    </row>
    <row r="155" spans="1:6" x14ac:dyDescent="0.2">
      <c r="A155" s="3">
        <v>45821</v>
      </c>
      <c r="B155" t="s">
        <v>72</v>
      </c>
      <c r="C155">
        <v>-10</v>
      </c>
      <c r="D155" t="s">
        <v>91</v>
      </c>
      <c r="F155" t="s">
        <v>79</v>
      </c>
    </row>
    <row r="156" spans="1:6" x14ac:dyDescent="0.2">
      <c r="A156" s="3">
        <v>45826</v>
      </c>
      <c r="B156" t="s">
        <v>73</v>
      </c>
      <c r="C156">
        <v>-3</v>
      </c>
      <c r="D156" t="s">
        <v>86</v>
      </c>
      <c r="F156" t="s">
        <v>79</v>
      </c>
    </row>
    <row r="157" spans="1:6" x14ac:dyDescent="0.2">
      <c r="A157" s="3">
        <v>45828</v>
      </c>
      <c r="B157" t="s">
        <v>74</v>
      </c>
      <c r="C157">
        <v>-30</v>
      </c>
      <c r="D157" t="s">
        <v>81</v>
      </c>
      <c r="F157" t="s">
        <v>79</v>
      </c>
    </row>
    <row r="158" spans="1:6" x14ac:dyDescent="0.2">
      <c r="A158" s="3">
        <v>45831</v>
      </c>
      <c r="B158" t="s">
        <v>75</v>
      </c>
      <c r="C158">
        <v>-8</v>
      </c>
      <c r="D158" t="s">
        <v>86</v>
      </c>
      <c r="F158" t="s">
        <v>79</v>
      </c>
    </row>
    <row r="159" spans="1:6" x14ac:dyDescent="0.2">
      <c r="A159" s="3">
        <v>45832</v>
      </c>
      <c r="B159" t="s">
        <v>76</v>
      </c>
      <c r="C159">
        <v>-30</v>
      </c>
      <c r="D159" t="s">
        <v>83</v>
      </c>
      <c r="F159" t="s">
        <v>79</v>
      </c>
    </row>
    <row r="160" spans="1:6" x14ac:dyDescent="0.2">
      <c r="A160" s="3">
        <v>45822</v>
      </c>
      <c r="B160" t="s">
        <v>77</v>
      </c>
      <c r="C160">
        <v>-17</v>
      </c>
      <c r="D160" t="s">
        <v>81</v>
      </c>
      <c r="F160" t="s">
        <v>79</v>
      </c>
    </row>
    <row r="161" spans="1:6" x14ac:dyDescent="0.2">
      <c r="A161" s="3">
        <v>45834</v>
      </c>
      <c r="B161" t="s">
        <v>78</v>
      </c>
      <c r="C161">
        <v>-3</v>
      </c>
      <c r="D161" t="s">
        <v>86</v>
      </c>
      <c r="F161" t="s">
        <v>79</v>
      </c>
    </row>
    <row r="162" spans="1:6" x14ac:dyDescent="0.2">
      <c r="A162" s="3">
        <v>45837</v>
      </c>
      <c r="B162" t="s">
        <v>84</v>
      </c>
      <c r="C162">
        <v>-27.92</v>
      </c>
      <c r="D162" t="s">
        <v>80</v>
      </c>
      <c r="F162" t="s">
        <v>67</v>
      </c>
    </row>
    <row r="163" spans="1:6" x14ac:dyDescent="0.2">
      <c r="A163" s="3"/>
      <c r="C163">
        <f>SUM(Table1[amount])</f>
        <v>170.91999999999985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7F7B-1F31-FD4A-8589-4804E9587B5F}">
  <dimension ref="A1:C28"/>
  <sheetViews>
    <sheetView tabSelected="1" zoomScale="125" workbookViewId="0">
      <selection activeCell="J13" sqref="J13"/>
    </sheetView>
  </sheetViews>
  <sheetFormatPr baseColWidth="10" defaultRowHeight="15" x14ac:dyDescent="0.2"/>
  <cols>
    <col min="1" max="1" width="25.1640625" bestFit="1" customWidth="1"/>
    <col min="2" max="2" width="20.83203125" bestFit="1" customWidth="1"/>
  </cols>
  <sheetData>
    <row r="1" spans="1:3" ht="16" x14ac:dyDescent="0.2">
      <c r="A1" s="6" t="s">
        <v>95</v>
      </c>
      <c r="B1" s="7">
        <v>51</v>
      </c>
    </row>
    <row r="2" spans="1:3" ht="16" x14ac:dyDescent="0.2">
      <c r="A2" s="8" t="s">
        <v>96</v>
      </c>
      <c r="B2" s="9">
        <v>135</v>
      </c>
    </row>
    <row r="3" spans="1:3" ht="16" x14ac:dyDescent="0.2">
      <c r="A3" s="8" t="s">
        <v>97</v>
      </c>
      <c r="B3" s="9">
        <v>12.76</v>
      </c>
    </row>
    <row r="4" spans="1:3" ht="16" x14ac:dyDescent="0.2">
      <c r="A4" s="8" t="s">
        <v>98</v>
      </c>
      <c r="B4" s="10">
        <v>850</v>
      </c>
      <c r="C4" s="16"/>
    </row>
    <row r="5" spans="1:3" ht="16" x14ac:dyDescent="0.2">
      <c r="A5" s="8"/>
      <c r="B5" s="12"/>
    </row>
    <row r="6" spans="1:3" ht="16" x14ac:dyDescent="0.2">
      <c r="A6" s="8" t="s">
        <v>99</v>
      </c>
      <c r="B6" s="9">
        <v>245</v>
      </c>
    </row>
    <row r="7" spans="1:3" ht="16" x14ac:dyDescent="0.2">
      <c r="A7" s="8" t="s">
        <v>100</v>
      </c>
      <c r="B7" s="13">
        <v>812</v>
      </c>
      <c r="C7" s="17"/>
    </row>
    <row r="8" spans="1:3" ht="16" x14ac:dyDescent="0.2">
      <c r="A8" s="8" t="s">
        <v>101</v>
      </c>
      <c r="B8" s="9">
        <v>400</v>
      </c>
    </row>
    <row r="9" spans="1:3" ht="16" x14ac:dyDescent="0.2">
      <c r="A9" s="8" t="s">
        <v>102</v>
      </c>
      <c r="B9" s="9">
        <v>120</v>
      </c>
    </row>
    <row r="10" spans="1:3" ht="16" x14ac:dyDescent="0.2">
      <c r="A10" s="11"/>
      <c r="B10" s="11"/>
    </row>
    <row r="11" spans="1:3" ht="16" x14ac:dyDescent="0.2">
      <c r="A11" s="11"/>
      <c r="B11" s="11"/>
    </row>
    <row r="12" spans="1:3" ht="20" x14ac:dyDescent="0.25">
      <c r="A12" s="18" t="s">
        <v>103</v>
      </c>
      <c r="B12" s="18"/>
    </row>
    <row r="13" spans="1:3" ht="16" x14ac:dyDescent="0.2">
      <c r="A13" s="8" t="s">
        <v>82</v>
      </c>
      <c r="B13" s="12">
        <f>SUMIF(Table1[category],Stats!A13,Table1[amount])</f>
        <v>-50.20000000000001</v>
      </c>
    </row>
    <row r="14" spans="1:3" ht="16" x14ac:dyDescent="0.2">
      <c r="A14" s="8" t="s">
        <v>80</v>
      </c>
      <c r="B14" s="12">
        <f>SUMIF(Table1[category],Stats!A14,Table1[amount])</f>
        <v>-116.19</v>
      </c>
    </row>
    <row r="15" spans="1:3" ht="16" x14ac:dyDescent="0.2">
      <c r="A15" s="8" t="s">
        <v>86</v>
      </c>
      <c r="B15" s="12">
        <f>SUMIF(Table1[category],Stats!A15,Table1[amount])</f>
        <v>-50.050000000000004</v>
      </c>
    </row>
    <row r="16" spans="1:3" ht="16" x14ac:dyDescent="0.2">
      <c r="A16" s="8" t="s">
        <v>81</v>
      </c>
      <c r="B16" s="12">
        <f>SUMIF(Table1[category],Stats!A16,Table1[amount])</f>
        <v>-119.57</v>
      </c>
    </row>
    <row r="17" spans="1:2" ht="16" x14ac:dyDescent="0.2">
      <c r="A17" s="8" t="s">
        <v>92</v>
      </c>
      <c r="B17" s="12">
        <f>SUMIF(Table1[category],Stats!A17,Table1[amount])</f>
        <v>-41.33</v>
      </c>
    </row>
    <row r="18" spans="1:2" ht="16" x14ac:dyDescent="0.2">
      <c r="A18" s="8" t="s">
        <v>104</v>
      </c>
      <c r="B18" s="12">
        <f>SUMIF(Table1[category],Stats!A18,Table1[amount])</f>
        <v>0</v>
      </c>
    </row>
    <row r="19" spans="1:2" ht="16" x14ac:dyDescent="0.2">
      <c r="A19" s="8" t="s">
        <v>105</v>
      </c>
      <c r="B19" s="12">
        <f>SUMIF(Table1[category],Stats!A19,Table1[amount])</f>
        <v>0</v>
      </c>
    </row>
    <row r="20" spans="1:2" ht="16" x14ac:dyDescent="0.2">
      <c r="A20" s="8" t="s">
        <v>83</v>
      </c>
      <c r="B20" s="12">
        <f>SUMIF(Table1[category],Stats!A20,Table1[amount])</f>
        <v>-39.53</v>
      </c>
    </row>
    <row r="21" spans="1:2" ht="16" x14ac:dyDescent="0.2">
      <c r="A21" s="8" t="s">
        <v>106</v>
      </c>
      <c r="B21" s="12">
        <f>SUMIF(Table1[category],Stats!A21,Table1[amount])</f>
        <v>0</v>
      </c>
    </row>
    <row r="22" spans="1:2" ht="16" x14ac:dyDescent="0.2">
      <c r="A22" s="8" t="s">
        <v>88</v>
      </c>
      <c r="B22" s="12">
        <f>SUMIF(Table1[category],Stats!A22,Table1[amount])</f>
        <v>-8.7799999999999994</v>
      </c>
    </row>
    <row r="23" spans="1:2" ht="16" x14ac:dyDescent="0.2">
      <c r="A23" s="8" t="s">
        <v>89</v>
      </c>
      <c r="B23" s="12">
        <f>SUMIF(Table1[category],Stats!A23,Table1[amount])</f>
        <v>-50</v>
      </c>
    </row>
    <row r="24" spans="1:2" ht="16" x14ac:dyDescent="0.2">
      <c r="A24" s="8" t="s">
        <v>91</v>
      </c>
      <c r="B24" s="12">
        <f>SUMIF(Table1[category],Stats!A24,Table1[amount])</f>
        <v>-23.43</v>
      </c>
    </row>
    <row r="25" spans="1:2" ht="16" x14ac:dyDescent="0.2">
      <c r="A25" s="14" t="s">
        <v>107</v>
      </c>
      <c r="B25" s="12">
        <f>SUM(B13:B24)</f>
        <v>-499.08</v>
      </c>
    </row>
    <row r="26" spans="1:2" ht="16" x14ac:dyDescent="0.2">
      <c r="A26" s="19"/>
      <c r="B26" s="20"/>
    </row>
    <row r="27" spans="1:2" ht="16" x14ac:dyDescent="0.2">
      <c r="A27" s="8" t="s">
        <v>85</v>
      </c>
      <c r="B27" s="12">
        <f>SUMIF(Table1[category],Stats!A27,Table1[amount])</f>
        <v>670</v>
      </c>
    </row>
    <row r="28" spans="1:2" x14ac:dyDescent="0.2">
      <c r="A28" s="5"/>
      <c r="B28" s="15">
        <f>SUM(B27,B25)</f>
        <v>170.92000000000002</v>
      </c>
    </row>
  </sheetData>
  <mergeCells count="2">
    <mergeCell ref="A12:B12"/>
    <mergeCell ref="A26:B26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Dmytro Semeniuk</cp:lastModifiedBy>
  <dcterms:created xsi:type="dcterms:W3CDTF">2025-07-02T13:40:44Z</dcterms:created>
  <dcterms:modified xsi:type="dcterms:W3CDTF">2025-08-01T21:31:48Z</dcterms:modified>
</cp:coreProperties>
</file>