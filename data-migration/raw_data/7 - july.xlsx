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est/Documents/personal/finance-tracker/excel/monthly/"/>
    </mc:Choice>
  </mc:AlternateContent>
  <xr:revisionPtr revIDLastSave="0" documentId="13_ncr:1_{4FCE78E6-4D71-C74F-B9B8-64894281DE41}" xr6:coauthVersionLast="47" xr6:coauthVersionMax="47" xr10:uidLastSave="{00000000-0000-0000-0000-000000000000}"/>
  <bookViews>
    <workbookView xWindow="-21020" yWindow="9320" windowWidth="22940" windowHeight="14300" activeTab="1" xr2:uid="{00000000-000D-0000-FFFF-FFFF00000000}"/>
  </bookViews>
  <sheets>
    <sheet name="Transactions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1" l="1"/>
  <c r="B23" i="2"/>
  <c r="B24" i="2"/>
  <c r="B22" i="2"/>
  <c r="B21" i="2"/>
  <c r="B20" i="2"/>
  <c r="B19" i="2"/>
  <c r="B18" i="2"/>
  <c r="B17" i="2"/>
  <c r="B16" i="2"/>
  <c r="B15" i="2"/>
  <c r="B14" i="2"/>
  <c r="B13" i="2"/>
  <c r="C82" i="1"/>
  <c r="B27" i="2" s="1"/>
  <c r="B25" i="2" l="1"/>
  <c r="B28" i="2" s="1"/>
</calcChain>
</file>

<file path=xl/sharedStrings.xml><?xml version="1.0" encoding="utf-8"?>
<sst xmlns="http://schemas.openxmlformats.org/spreadsheetml/2006/main" count="341" uniqueCount="108">
  <si>
    <t>txn_date</t>
  </si>
  <si>
    <t>description</t>
  </si>
  <si>
    <t>amount</t>
  </si>
  <si>
    <t>category</t>
  </si>
  <si>
    <t>note</t>
  </si>
  <si>
    <t>Gavranović</t>
  </si>
  <si>
    <t>01/07/2025</t>
  </si>
  <si>
    <t>Naplata naknade za vođenje računa</t>
  </si>
  <si>
    <t>414960****0874</t>
  </si>
  <si>
    <t>Mlinar</t>
  </si>
  <si>
    <t>Restoran Kampus</t>
  </si>
  <si>
    <t>Prijenos sa HR8224020063211614523, Ništa</t>
  </si>
  <si>
    <t>02/07/2025</t>
  </si>
  <si>
    <t>Bolt</t>
  </si>
  <si>
    <t>462765XXXXXX9899, MUELLER RIJEKA 4985 RIJEKA</t>
  </si>
  <si>
    <t>Plodine</t>
  </si>
  <si>
    <t>462765XXXXXX9899, INA BP RIJEKA</t>
  </si>
  <si>
    <t>462765XXXXXX9899, PETROL PM RIJEKA, MLAKA RIJEKA</t>
  </si>
  <si>
    <t>MLINAR PEKARSKA INDUST</t>
  </si>
  <si>
    <t>03/07/2025</t>
  </si>
  <si>
    <t>SPAR Food &amp; Fuel</t>
  </si>
  <si>
    <t>Parkiralište</t>
  </si>
  <si>
    <t>KEKS Pay</t>
  </si>
  <si>
    <t>04/07/2025</t>
  </si>
  <si>
    <t>462765XXXXXX9899, RIJEKA TRANS KUKULJANOVO</t>
  </si>
  <si>
    <t>Debit</t>
  </si>
  <si>
    <t>05/07/2025</t>
  </si>
  <si>
    <t>462765XXXXXX9899, PETROL PM RIJEKA, VEZICA RIJEKA</t>
  </si>
  <si>
    <t>GOOGLE *YouTubePremium</t>
  </si>
  <si>
    <t>06/07/2025</t>
  </si>
  <si>
    <t>UPLATA NA DEPOZITNOM BANKOMATU</t>
  </si>
  <si>
    <t>07/07/2025</t>
  </si>
  <si>
    <t>08/07/2025</t>
  </si>
  <si>
    <t>Amazon</t>
  </si>
  <si>
    <t>Transfer to Revolut user</t>
  </si>
  <si>
    <t>09/07/2025</t>
  </si>
  <si>
    <t>10/07/2025</t>
  </si>
  <si>
    <t>462765XXXXXX9899, Reserved Rijeka</t>
  </si>
  <si>
    <t>11/07/2025</t>
  </si>
  <si>
    <t>Rijeka Trans</t>
  </si>
  <si>
    <t>Apple</t>
  </si>
  <si>
    <t>13/07/2025</t>
  </si>
  <si>
    <t>14/07/2025</t>
  </si>
  <si>
    <t>Bmove</t>
  </si>
  <si>
    <t>Brodokomerc016</t>
  </si>
  <si>
    <t>15/07/2025</t>
  </si>
  <si>
    <t>17/07/2025</t>
  </si>
  <si>
    <t>Tabacco Shop</t>
  </si>
  <si>
    <t>18/07/2025</t>
  </si>
  <si>
    <t>U17357273 Dmytro Semeniuk</t>
  </si>
  <si>
    <t>19/07/2025</t>
  </si>
  <si>
    <t>20/07/2025</t>
  </si>
  <si>
    <t>iRealOne j. d. o. o., Otkup</t>
  </si>
  <si>
    <t>мама получила зп а я їй відав налом</t>
  </si>
  <si>
    <t>21/07/2025</t>
  </si>
  <si>
    <t>Cacao</t>
  </si>
  <si>
    <t>INA</t>
  </si>
  <si>
    <t>22/07/2025</t>
  </si>
  <si>
    <t>мама получила зп а я віддав налом</t>
  </si>
  <si>
    <t>24/07/2025</t>
  </si>
  <si>
    <t>McDonald's</t>
  </si>
  <si>
    <t>25/07/2025</t>
  </si>
  <si>
    <t>Pekara Jadran</t>
  </si>
  <si>
    <t>26/07/2025</t>
  </si>
  <si>
    <t>PAYPAL *VIERUDGROUP</t>
  </si>
  <si>
    <t>27/07/2025</t>
  </si>
  <si>
    <t>28/07/2025</t>
  </si>
  <si>
    <t>INTERSPAR8721</t>
  </si>
  <si>
    <t>29/07/2025</t>
  </si>
  <si>
    <t>30/07/2025</t>
  </si>
  <si>
    <t>31/07/2025</t>
  </si>
  <si>
    <t>Мама дала на бенз</t>
  </si>
  <si>
    <t>Transportation</t>
  </si>
  <si>
    <t>Кофе боннавія</t>
  </si>
  <si>
    <t>Coffee</t>
  </si>
  <si>
    <t>Стрижка</t>
  </si>
  <si>
    <t>Більярд і Дартс</t>
  </si>
  <si>
    <t>Other</t>
  </si>
  <si>
    <t>Entertainment &amp; Subscriptions</t>
  </si>
  <si>
    <t>Боулінг І Більярд</t>
  </si>
  <si>
    <t>Дав Аріні</t>
  </si>
  <si>
    <t xml:space="preserve"> Кофе з дідом і бабульою</t>
  </si>
  <si>
    <t>Dining &amp; Restaurants</t>
  </si>
  <si>
    <t>Кинув аріні 10 євро на револют, але вона 5 віддала наліком</t>
  </si>
  <si>
    <t>Піцца + Кофе з Артемом</t>
  </si>
  <si>
    <t>Заплатив за завдання з предмету UPI</t>
  </si>
  <si>
    <t>Groceries</t>
  </si>
  <si>
    <t>Shopping</t>
  </si>
  <si>
    <t>Donation</t>
  </si>
  <si>
    <t>Income</t>
  </si>
  <si>
    <t>Education &amp; Studying</t>
  </si>
  <si>
    <t>Book</t>
  </si>
  <si>
    <t>Investments</t>
  </si>
  <si>
    <t>CASH</t>
  </si>
  <si>
    <t>ERSTE</t>
  </si>
  <si>
    <t>REVOLUT</t>
  </si>
  <si>
    <t>MONOBANK</t>
  </si>
  <si>
    <t>STOCKS INVESTMENTS</t>
  </si>
  <si>
    <t>CRYPTO INVESTMENTS</t>
  </si>
  <si>
    <t>EMERGENCY FUND</t>
  </si>
  <si>
    <t>MOVING OUT FUND</t>
  </si>
  <si>
    <t>SPENT BY CATEGORIES</t>
  </si>
  <si>
    <t>Home</t>
  </si>
  <si>
    <t>Cash Withdrawals</t>
  </si>
  <si>
    <t>Travelling</t>
  </si>
  <si>
    <t>Total spend</t>
  </si>
  <si>
    <t>-</t>
  </si>
  <si>
    <t>Заробив на Руслані коли переводив гроші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</si>
</sst>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9" formatCode="_([$€-2]\ * #,##0.00_);_([$€-2]\ * \(#,##0.00\);_([$€-2]\ * &quot;-&quot;??_);_(@_)"/>
    <numFmt numFmtId="170" formatCode="_([$UAH]\ * #,##0.00_);_([$UAH]\ * \(#,##0.00\);_([$UAH]\ 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5"/>
      <color rgb="FFFFFFFF"/>
      <name val="Aptos Narrow"/>
    </font>
    <font>
      <sz val="12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  <fill>
      <patternFill patternType="solid">
        <fgColor rgb="FF92D050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" fontId="0" fillId="0" borderId="0" xfId="0" applyNumberFormat="1"/>
    <xf numFmtId="0" fontId="2" fillId="0" borderId="0" xfId="0" applyFont="1"/>
    <xf numFmtId="0" fontId="3" fillId="2" borderId="1" xfId="0" applyFont="1" applyFill="1" applyBorder="1"/>
    <xf numFmtId="169" fontId="3" fillId="2" borderId="2" xfId="0" applyNumberFormat="1" applyFont="1" applyFill="1" applyBorder="1"/>
    <xf numFmtId="0" fontId="3" fillId="2" borderId="3" xfId="0" applyFont="1" applyFill="1" applyBorder="1"/>
    <xf numFmtId="169" fontId="3" fillId="2" borderId="4" xfId="0" applyNumberFormat="1" applyFont="1" applyFill="1" applyBorder="1"/>
    <xf numFmtId="0" fontId="3" fillId="0" borderId="0" xfId="0" applyFont="1"/>
    <xf numFmtId="0" fontId="3" fillId="2" borderId="4" xfId="0" applyFont="1" applyFill="1" applyBorder="1"/>
    <xf numFmtId="44" fontId="3" fillId="2" borderId="4" xfId="0" applyNumberFormat="1" applyFont="1" applyFill="1" applyBorder="1"/>
    <xf numFmtId="0" fontId="3" fillId="2" borderId="6" xfId="0" applyFont="1" applyFill="1" applyBorder="1"/>
    <xf numFmtId="0" fontId="2" fillId="4" borderId="0" xfId="0" applyFont="1" applyFill="1"/>
    <xf numFmtId="0" fontId="4" fillId="3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170" fontId="5" fillId="2" borderId="4" xfId="0" applyNumberFormat="1" applyFont="1" applyFill="1" applyBorder="1"/>
    <xf numFmtId="169" fontId="0" fillId="0" borderId="0" xfId="0" applyNumberFormat="1"/>
  </cellXfs>
  <cellStyles count="1">
    <cellStyle name="Normal" xfId="0" builtinId="0"/>
  </cellStyles>
  <dxfs count="5"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\-mmm"/>
    </dxf>
    <dxf>
      <border outline="0">
        <bottom style="thin">
          <color indexed="64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75F11-D7D3-1541-B19F-86345B5154A4}" name="Table1" displayName="Table1" ref="A1:E109" totalsRowCount="1" headerRowDxfId="1" headerRowBorderDxfId="3" tableBorderDxfId="4">
  <autoFilter ref="A1:E108" xr:uid="{D3875F11-D7D3-1541-B19F-86345B5154A4}"/>
  <tableColumns count="5">
    <tableColumn id="1" xr3:uid="{B4A3F485-3861-B141-89FA-438E4F1FFF93}" name="txn_date" dataDxfId="2" totalsRowDxfId="0"/>
    <tableColumn id="2" xr3:uid="{F57C22E6-6B64-C448-BE97-4E5A2167EA60}" name="description"/>
    <tableColumn id="3" xr3:uid="{201865A4-718F-5E4D-8648-7CCC358E5CEB}" name="amount" totalsRowFunction="custom">
      <totalsRowFormula>SUM(Table1[amount])</totalsRowFormula>
    </tableColumn>
    <tableColumn id="4" xr3:uid="{BB634657-9304-2E4A-9153-F7E423359D6C}" name="category"/>
    <tableColumn id="5" xr3:uid="{5F66F1F5-CE08-C546-A9FC-E3F195D8EE19}" name="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opLeftCell="A103" zoomScale="161" workbookViewId="0">
      <selection activeCell="C110" sqref="C110"/>
    </sheetView>
  </sheetViews>
  <sheetFormatPr baseColWidth="10" defaultColWidth="8.83203125" defaultRowHeight="15" x14ac:dyDescent="0.2"/>
  <cols>
    <col min="1" max="1" width="10.5" bestFit="1" customWidth="1"/>
    <col min="2" max="2" width="44.33203125" bestFit="1" customWidth="1"/>
    <col min="4" max="4" width="24.83203125" bestFit="1" customWidth="1"/>
    <col min="5" max="5" width="30.83203125" bestFit="1" customWidth="1"/>
  </cols>
  <sheetData>
    <row r="1" spans="1:5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5" x14ac:dyDescent="0.2">
      <c r="A2" t="s">
        <v>6</v>
      </c>
      <c r="B2" t="s">
        <v>7</v>
      </c>
      <c r="C2">
        <v>-3</v>
      </c>
      <c r="D2" t="s">
        <v>77</v>
      </c>
    </row>
    <row r="3" spans="1:5" x14ac:dyDescent="0.2">
      <c r="A3" t="s">
        <v>6</v>
      </c>
      <c r="B3" t="s">
        <v>8</v>
      </c>
      <c r="C3">
        <v>-33.799999999999997</v>
      </c>
      <c r="D3" t="s">
        <v>77</v>
      </c>
      <c r="E3" t="s">
        <v>85</v>
      </c>
    </row>
    <row r="4" spans="1:5" x14ac:dyDescent="0.2">
      <c r="A4" t="s">
        <v>6</v>
      </c>
      <c r="B4" t="s">
        <v>5</v>
      </c>
      <c r="C4">
        <v>-1.39</v>
      </c>
      <c r="D4" t="s">
        <v>86</v>
      </c>
    </row>
    <row r="5" spans="1:5" x14ac:dyDescent="0.2">
      <c r="A5" t="s">
        <v>6</v>
      </c>
      <c r="B5" t="s">
        <v>9</v>
      </c>
      <c r="C5">
        <v>-2.4</v>
      </c>
      <c r="D5" t="s">
        <v>82</v>
      </c>
    </row>
    <row r="6" spans="1:5" x14ac:dyDescent="0.2">
      <c r="A6" t="s">
        <v>6</v>
      </c>
      <c r="B6" t="s">
        <v>10</v>
      </c>
      <c r="C6">
        <v>-1.51</v>
      </c>
      <c r="D6" t="s">
        <v>82</v>
      </c>
    </row>
    <row r="7" spans="1:5" x14ac:dyDescent="0.2">
      <c r="A7" t="s">
        <v>6</v>
      </c>
      <c r="B7" t="s">
        <v>11</v>
      </c>
      <c r="C7">
        <v>15</v>
      </c>
      <c r="D7" t="s">
        <v>77</v>
      </c>
    </row>
    <row r="8" spans="1:5" x14ac:dyDescent="0.2">
      <c r="A8" t="s">
        <v>6</v>
      </c>
      <c r="B8" t="s">
        <v>10</v>
      </c>
      <c r="C8">
        <v>-1.44</v>
      </c>
      <c r="D8" t="s">
        <v>82</v>
      </c>
    </row>
    <row r="9" spans="1:5" x14ac:dyDescent="0.2">
      <c r="A9" t="s">
        <v>6</v>
      </c>
      <c r="B9" t="s">
        <v>10</v>
      </c>
      <c r="C9">
        <v>-0.94</v>
      </c>
      <c r="D9" t="s">
        <v>82</v>
      </c>
    </row>
    <row r="10" spans="1:5" x14ac:dyDescent="0.2">
      <c r="A10" t="s">
        <v>12</v>
      </c>
      <c r="B10" t="s">
        <v>10</v>
      </c>
      <c r="C10">
        <v>-1.42</v>
      </c>
      <c r="D10" t="s">
        <v>82</v>
      </c>
    </row>
    <row r="11" spans="1:5" x14ac:dyDescent="0.2">
      <c r="A11" t="s">
        <v>12</v>
      </c>
      <c r="B11" t="s">
        <v>13</v>
      </c>
      <c r="C11">
        <v>-1.89</v>
      </c>
      <c r="D11" t="s">
        <v>72</v>
      </c>
    </row>
    <row r="12" spans="1:5" x14ac:dyDescent="0.2">
      <c r="A12" t="s">
        <v>12</v>
      </c>
      <c r="B12" t="s">
        <v>14</v>
      </c>
      <c r="C12">
        <v>-8.49</v>
      </c>
      <c r="D12" t="s">
        <v>87</v>
      </c>
    </row>
    <row r="13" spans="1:5" x14ac:dyDescent="0.2">
      <c r="A13" t="s">
        <v>12</v>
      </c>
      <c r="B13" t="s">
        <v>15</v>
      </c>
      <c r="C13">
        <v>-1.27</v>
      </c>
      <c r="D13" t="s">
        <v>86</v>
      </c>
    </row>
    <row r="14" spans="1:5" x14ac:dyDescent="0.2">
      <c r="A14" t="s">
        <v>12</v>
      </c>
      <c r="B14" t="s">
        <v>17</v>
      </c>
      <c r="C14">
        <v>-15.23</v>
      </c>
      <c r="D14" t="s">
        <v>72</v>
      </c>
    </row>
    <row r="15" spans="1:5" x14ac:dyDescent="0.2">
      <c r="A15" t="s">
        <v>12</v>
      </c>
      <c r="B15" t="s">
        <v>18</v>
      </c>
      <c r="C15">
        <v>-4.24</v>
      </c>
      <c r="D15" t="s">
        <v>82</v>
      </c>
    </row>
    <row r="16" spans="1:5" x14ac:dyDescent="0.2">
      <c r="A16" t="s">
        <v>19</v>
      </c>
      <c r="B16" t="s">
        <v>20</v>
      </c>
      <c r="C16">
        <v>-5.12</v>
      </c>
      <c r="D16" t="s">
        <v>86</v>
      </c>
    </row>
    <row r="17" spans="1:5" x14ac:dyDescent="0.2">
      <c r="A17" t="s">
        <v>19</v>
      </c>
      <c r="B17" t="s">
        <v>21</v>
      </c>
      <c r="C17">
        <v>-0.8</v>
      </c>
      <c r="D17" t="s">
        <v>72</v>
      </c>
    </row>
    <row r="18" spans="1:5" x14ac:dyDescent="0.2">
      <c r="A18" t="s">
        <v>19</v>
      </c>
      <c r="B18" t="s">
        <v>22</v>
      </c>
      <c r="C18">
        <v>-2.2999999999999998</v>
      </c>
      <c r="D18" t="s">
        <v>74</v>
      </c>
    </row>
    <row r="19" spans="1:5" x14ac:dyDescent="0.2">
      <c r="A19" t="s">
        <v>19</v>
      </c>
      <c r="B19" t="s">
        <v>10</v>
      </c>
      <c r="C19">
        <v>-1.05</v>
      </c>
      <c r="D19" t="s">
        <v>82</v>
      </c>
    </row>
    <row r="20" spans="1:5" x14ac:dyDescent="0.2">
      <c r="A20" t="s">
        <v>23</v>
      </c>
      <c r="B20" t="s">
        <v>24</v>
      </c>
      <c r="C20">
        <v>-15.02</v>
      </c>
      <c r="D20" t="s">
        <v>72</v>
      </c>
    </row>
    <row r="21" spans="1:5" x14ac:dyDescent="0.2">
      <c r="A21" t="s">
        <v>23</v>
      </c>
      <c r="B21" t="s">
        <v>25</v>
      </c>
      <c r="C21">
        <v>-2.0299999999999998</v>
      </c>
      <c r="D21" t="s">
        <v>77</v>
      </c>
      <c r="E21" t="s">
        <v>88</v>
      </c>
    </row>
    <row r="22" spans="1:5" x14ac:dyDescent="0.2">
      <c r="A22" t="s">
        <v>23</v>
      </c>
      <c r="B22" t="s">
        <v>10</v>
      </c>
      <c r="C22">
        <v>-1.83</v>
      </c>
      <c r="D22" t="s">
        <v>82</v>
      </c>
    </row>
    <row r="23" spans="1:5" x14ac:dyDescent="0.2">
      <c r="A23" t="s">
        <v>23</v>
      </c>
      <c r="B23" t="s">
        <v>16</v>
      </c>
      <c r="C23">
        <v>-16.7</v>
      </c>
      <c r="D23" t="s">
        <v>72</v>
      </c>
    </row>
    <row r="24" spans="1:5" x14ac:dyDescent="0.2">
      <c r="A24" t="s">
        <v>23</v>
      </c>
      <c r="B24" t="s">
        <v>5</v>
      </c>
      <c r="C24">
        <v>-1.69</v>
      </c>
      <c r="D24" t="s">
        <v>86</v>
      </c>
    </row>
    <row r="25" spans="1:5" x14ac:dyDescent="0.2">
      <c r="A25" t="s">
        <v>23</v>
      </c>
      <c r="B25" t="s">
        <v>10</v>
      </c>
      <c r="C25">
        <v>-0.08</v>
      </c>
      <c r="D25" t="s">
        <v>82</v>
      </c>
    </row>
    <row r="26" spans="1:5" x14ac:dyDescent="0.2">
      <c r="A26" t="s">
        <v>23</v>
      </c>
      <c r="B26" t="s">
        <v>10</v>
      </c>
      <c r="C26">
        <v>-2.5</v>
      </c>
      <c r="D26" t="s">
        <v>82</v>
      </c>
    </row>
    <row r="27" spans="1:5" x14ac:dyDescent="0.2">
      <c r="A27" t="s">
        <v>26</v>
      </c>
      <c r="B27" t="s">
        <v>20</v>
      </c>
      <c r="C27">
        <v>-1.19</v>
      </c>
      <c r="D27" t="s">
        <v>86</v>
      </c>
    </row>
    <row r="28" spans="1:5" x14ac:dyDescent="0.2">
      <c r="A28" t="s">
        <v>26</v>
      </c>
      <c r="B28" t="s">
        <v>27</v>
      </c>
      <c r="C28">
        <v>-30</v>
      </c>
      <c r="D28" t="s">
        <v>72</v>
      </c>
    </row>
    <row r="29" spans="1:5" x14ac:dyDescent="0.2">
      <c r="A29" t="s">
        <v>26</v>
      </c>
      <c r="B29" t="s">
        <v>28</v>
      </c>
      <c r="C29">
        <v>-3.03</v>
      </c>
      <c r="D29" t="s">
        <v>78</v>
      </c>
    </row>
    <row r="30" spans="1:5" x14ac:dyDescent="0.2">
      <c r="A30" t="s">
        <v>29</v>
      </c>
      <c r="B30" t="s">
        <v>30</v>
      </c>
      <c r="C30">
        <v>140</v>
      </c>
      <c r="D30" t="s">
        <v>89</v>
      </c>
    </row>
    <row r="31" spans="1:5" x14ac:dyDescent="0.2">
      <c r="A31" t="s">
        <v>31</v>
      </c>
      <c r="B31" t="s">
        <v>10</v>
      </c>
      <c r="C31">
        <v>-1.47</v>
      </c>
      <c r="D31" t="s">
        <v>82</v>
      </c>
    </row>
    <row r="32" spans="1:5" x14ac:dyDescent="0.2">
      <c r="A32" t="s">
        <v>31</v>
      </c>
      <c r="B32" t="s">
        <v>10</v>
      </c>
      <c r="C32">
        <v>-0.5</v>
      </c>
      <c r="D32" t="s">
        <v>82</v>
      </c>
    </row>
    <row r="33" spans="1:5" x14ac:dyDescent="0.2">
      <c r="A33" t="s">
        <v>31</v>
      </c>
      <c r="B33" t="s">
        <v>10</v>
      </c>
      <c r="C33">
        <v>-1.95</v>
      </c>
      <c r="D33" t="s">
        <v>82</v>
      </c>
    </row>
    <row r="34" spans="1:5" x14ac:dyDescent="0.2">
      <c r="A34" t="s">
        <v>32</v>
      </c>
      <c r="B34" t="s">
        <v>10</v>
      </c>
      <c r="C34">
        <v>-1.21</v>
      </c>
      <c r="D34" t="s">
        <v>82</v>
      </c>
    </row>
    <row r="35" spans="1:5" x14ac:dyDescent="0.2">
      <c r="A35" t="s">
        <v>32</v>
      </c>
      <c r="B35" t="s">
        <v>22</v>
      </c>
      <c r="C35">
        <v>-2.2999999999999998</v>
      </c>
      <c r="D35" t="s">
        <v>74</v>
      </c>
    </row>
    <row r="36" spans="1:5" x14ac:dyDescent="0.2">
      <c r="A36" t="s">
        <v>32</v>
      </c>
      <c r="B36" t="s">
        <v>33</v>
      </c>
      <c r="C36">
        <v>-4.29</v>
      </c>
      <c r="D36" t="s">
        <v>90</v>
      </c>
      <c r="E36" t="s">
        <v>91</v>
      </c>
    </row>
    <row r="37" spans="1:5" x14ac:dyDescent="0.2">
      <c r="A37" t="s">
        <v>32</v>
      </c>
      <c r="B37" t="s">
        <v>34</v>
      </c>
      <c r="C37">
        <v>-10</v>
      </c>
      <c r="D37" t="s">
        <v>77</v>
      </c>
    </row>
    <row r="38" spans="1:5" x14ac:dyDescent="0.2">
      <c r="A38" t="s">
        <v>32</v>
      </c>
      <c r="B38" t="s">
        <v>10</v>
      </c>
      <c r="C38">
        <v>-1.51</v>
      </c>
      <c r="D38" t="s">
        <v>82</v>
      </c>
    </row>
    <row r="39" spans="1:5" x14ac:dyDescent="0.2">
      <c r="A39" t="s">
        <v>32</v>
      </c>
      <c r="B39" t="s">
        <v>10</v>
      </c>
      <c r="C39">
        <v>-0.5</v>
      </c>
      <c r="D39" t="s">
        <v>82</v>
      </c>
    </row>
    <row r="40" spans="1:5" x14ac:dyDescent="0.2">
      <c r="A40" t="s">
        <v>32</v>
      </c>
      <c r="B40" t="s">
        <v>20</v>
      </c>
      <c r="C40">
        <v>-6.03</v>
      </c>
      <c r="D40" t="s">
        <v>86</v>
      </c>
    </row>
    <row r="41" spans="1:5" x14ac:dyDescent="0.2">
      <c r="A41" t="s">
        <v>35</v>
      </c>
      <c r="B41" t="s">
        <v>20</v>
      </c>
      <c r="C41">
        <v>-2.0099999999999998</v>
      </c>
      <c r="D41" t="s">
        <v>86</v>
      </c>
    </row>
    <row r="42" spans="1:5" x14ac:dyDescent="0.2">
      <c r="A42" t="s">
        <v>35</v>
      </c>
      <c r="B42" t="s">
        <v>10</v>
      </c>
      <c r="C42">
        <v>-1.07</v>
      </c>
      <c r="D42" t="s">
        <v>82</v>
      </c>
    </row>
    <row r="43" spans="1:5" x14ac:dyDescent="0.2">
      <c r="A43" t="s">
        <v>35</v>
      </c>
      <c r="B43" t="s">
        <v>15</v>
      </c>
      <c r="C43">
        <v>-2.4700000000000002</v>
      </c>
      <c r="D43" t="s">
        <v>86</v>
      </c>
    </row>
    <row r="44" spans="1:5" x14ac:dyDescent="0.2">
      <c r="A44" t="s">
        <v>35</v>
      </c>
      <c r="B44" t="s">
        <v>20</v>
      </c>
      <c r="C44">
        <v>-1.69</v>
      </c>
      <c r="D44" t="s">
        <v>86</v>
      </c>
    </row>
    <row r="45" spans="1:5" x14ac:dyDescent="0.2">
      <c r="A45" t="s">
        <v>35</v>
      </c>
      <c r="B45" t="s">
        <v>10</v>
      </c>
      <c r="C45">
        <v>-0.96</v>
      </c>
      <c r="D45" t="s">
        <v>82</v>
      </c>
    </row>
    <row r="46" spans="1:5" x14ac:dyDescent="0.2">
      <c r="A46" t="s">
        <v>36</v>
      </c>
      <c r="B46" t="s">
        <v>13</v>
      </c>
      <c r="C46">
        <v>-0.39</v>
      </c>
      <c r="D46" t="s">
        <v>72</v>
      </c>
    </row>
    <row r="47" spans="1:5" x14ac:dyDescent="0.2">
      <c r="A47" t="s">
        <v>36</v>
      </c>
      <c r="B47" t="s">
        <v>37</v>
      </c>
      <c r="C47">
        <v>-9.34</v>
      </c>
      <c r="D47" t="s">
        <v>87</v>
      </c>
    </row>
    <row r="48" spans="1:5" x14ac:dyDescent="0.2">
      <c r="A48" t="s">
        <v>36</v>
      </c>
      <c r="B48" t="s">
        <v>10</v>
      </c>
      <c r="C48">
        <v>-1.07</v>
      </c>
      <c r="D48" t="s">
        <v>82</v>
      </c>
    </row>
    <row r="49" spans="1:4" x14ac:dyDescent="0.2">
      <c r="A49" t="s">
        <v>36</v>
      </c>
      <c r="B49" t="s">
        <v>13</v>
      </c>
      <c r="C49">
        <v>-1.61</v>
      </c>
      <c r="D49" t="s">
        <v>72</v>
      </c>
    </row>
    <row r="50" spans="1:4" x14ac:dyDescent="0.2">
      <c r="A50" t="s">
        <v>38</v>
      </c>
      <c r="B50" t="s">
        <v>10</v>
      </c>
      <c r="C50">
        <v>-0.79</v>
      </c>
      <c r="D50" t="s">
        <v>82</v>
      </c>
    </row>
    <row r="51" spans="1:4" x14ac:dyDescent="0.2">
      <c r="A51" t="s">
        <v>38</v>
      </c>
      <c r="B51" t="s">
        <v>39</v>
      </c>
      <c r="C51">
        <v>-20.04</v>
      </c>
      <c r="D51" t="s">
        <v>72</v>
      </c>
    </row>
    <row r="52" spans="1:4" x14ac:dyDescent="0.2">
      <c r="A52" t="s">
        <v>38</v>
      </c>
      <c r="B52" t="s">
        <v>40</v>
      </c>
      <c r="C52">
        <v>-6.49</v>
      </c>
      <c r="D52" t="s">
        <v>78</v>
      </c>
    </row>
    <row r="53" spans="1:4" x14ac:dyDescent="0.2">
      <c r="A53" t="s">
        <v>38</v>
      </c>
      <c r="B53" t="s">
        <v>10</v>
      </c>
      <c r="C53">
        <v>-1.28</v>
      </c>
      <c r="D53" t="s">
        <v>82</v>
      </c>
    </row>
    <row r="54" spans="1:4" x14ac:dyDescent="0.2">
      <c r="A54" t="s">
        <v>41</v>
      </c>
      <c r="B54" t="s">
        <v>30</v>
      </c>
      <c r="C54">
        <v>330</v>
      </c>
      <c r="D54" t="s">
        <v>89</v>
      </c>
    </row>
    <row r="55" spans="1:4" x14ac:dyDescent="0.2">
      <c r="A55" t="s">
        <v>42</v>
      </c>
      <c r="B55" t="s">
        <v>43</v>
      </c>
      <c r="C55">
        <v>-3</v>
      </c>
      <c r="D55" t="s">
        <v>72</v>
      </c>
    </row>
    <row r="56" spans="1:4" x14ac:dyDescent="0.2">
      <c r="A56" t="s">
        <v>42</v>
      </c>
      <c r="B56" t="s">
        <v>44</v>
      </c>
      <c r="C56">
        <v>-2.15</v>
      </c>
      <c r="D56" t="s">
        <v>86</v>
      </c>
    </row>
    <row r="57" spans="1:4" x14ac:dyDescent="0.2">
      <c r="A57" t="s">
        <v>45</v>
      </c>
      <c r="B57" t="s">
        <v>10</v>
      </c>
      <c r="C57">
        <v>-1.67</v>
      </c>
      <c r="D57" t="s">
        <v>82</v>
      </c>
    </row>
    <row r="58" spans="1:4" x14ac:dyDescent="0.2">
      <c r="A58" t="s">
        <v>46</v>
      </c>
      <c r="B58" t="s">
        <v>47</v>
      </c>
      <c r="C58">
        <v>-1.95</v>
      </c>
      <c r="D58" t="s">
        <v>86</v>
      </c>
    </row>
    <row r="59" spans="1:4" x14ac:dyDescent="0.2">
      <c r="A59" t="s">
        <v>46</v>
      </c>
      <c r="B59" t="s">
        <v>22</v>
      </c>
      <c r="C59">
        <v>-2.2999999999999998</v>
      </c>
      <c r="D59" t="s">
        <v>74</v>
      </c>
    </row>
    <row r="60" spans="1:4" x14ac:dyDescent="0.2">
      <c r="A60" t="s">
        <v>46</v>
      </c>
      <c r="B60" t="s">
        <v>9</v>
      </c>
      <c r="C60">
        <v>-4.2</v>
      </c>
      <c r="D60" t="s">
        <v>82</v>
      </c>
    </row>
    <row r="61" spans="1:4" x14ac:dyDescent="0.2">
      <c r="A61" t="s">
        <v>48</v>
      </c>
      <c r="B61" t="s">
        <v>30</v>
      </c>
      <c r="C61">
        <v>100</v>
      </c>
      <c r="D61" t="s">
        <v>89</v>
      </c>
    </row>
    <row r="62" spans="1:4" x14ac:dyDescent="0.2">
      <c r="A62" t="s">
        <v>48</v>
      </c>
      <c r="B62" t="s">
        <v>49</v>
      </c>
      <c r="C62">
        <v>-50</v>
      </c>
      <c r="D62" t="s">
        <v>92</v>
      </c>
    </row>
    <row r="63" spans="1:4" x14ac:dyDescent="0.2">
      <c r="A63" t="s">
        <v>50</v>
      </c>
      <c r="B63" t="s">
        <v>5</v>
      </c>
      <c r="C63">
        <v>-1.69</v>
      </c>
      <c r="D63" t="s">
        <v>86</v>
      </c>
    </row>
    <row r="64" spans="1:4" x14ac:dyDescent="0.2">
      <c r="A64" t="s">
        <v>50</v>
      </c>
      <c r="B64" t="s">
        <v>20</v>
      </c>
      <c r="C64">
        <v>-1.02</v>
      </c>
      <c r="D64" t="s">
        <v>86</v>
      </c>
    </row>
    <row r="65" spans="1:5" x14ac:dyDescent="0.2">
      <c r="A65" t="s">
        <v>51</v>
      </c>
      <c r="B65" t="s">
        <v>52</v>
      </c>
      <c r="C65">
        <v>255</v>
      </c>
      <c r="D65" t="s">
        <v>89</v>
      </c>
      <c r="E65" t="s">
        <v>53</v>
      </c>
    </row>
    <row r="66" spans="1:5" x14ac:dyDescent="0.2">
      <c r="A66" t="s">
        <v>51</v>
      </c>
      <c r="B66" t="s">
        <v>27</v>
      </c>
      <c r="C66">
        <v>-50.1</v>
      </c>
      <c r="D66" t="s">
        <v>72</v>
      </c>
    </row>
    <row r="67" spans="1:5" x14ac:dyDescent="0.2">
      <c r="A67" t="s">
        <v>51</v>
      </c>
      <c r="B67" t="s">
        <v>34</v>
      </c>
      <c r="C67">
        <v>-10</v>
      </c>
      <c r="D67" t="s">
        <v>77</v>
      </c>
    </row>
    <row r="68" spans="1:5" x14ac:dyDescent="0.2">
      <c r="A68" t="s">
        <v>54</v>
      </c>
      <c r="B68" t="s">
        <v>55</v>
      </c>
      <c r="C68">
        <v>-10.1</v>
      </c>
      <c r="D68" t="s">
        <v>82</v>
      </c>
    </row>
    <row r="69" spans="1:5" x14ac:dyDescent="0.2">
      <c r="A69" t="s">
        <v>54</v>
      </c>
      <c r="B69" t="s">
        <v>20</v>
      </c>
      <c r="C69">
        <v>-1.18</v>
      </c>
      <c r="D69" t="s">
        <v>86</v>
      </c>
    </row>
    <row r="70" spans="1:5" x14ac:dyDescent="0.2">
      <c r="A70" t="s">
        <v>54</v>
      </c>
      <c r="B70" t="s">
        <v>56</v>
      </c>
      <c r="C70">
        <v>-4.29</v>
      </c>
      <c r="D70" t="s">
        <v>86</v>
      </c>
    </row>
    <row r="71" spans="1:5" x14ac:dyDescent="0.2">
      <c r="A71" t="s">
        <v>54</v>
      </c>
      <c r="B71" t="s">
        <v>5</v>
      </c>
      <c r="C71">
        <v>-1.59</v>
      </c>
      <c r="D71" t="s">
        <v>86</v>
      </c>
    </row>
    <row r="72" spans="1:5" x14ac:dyDescent="0.2">
      <c r="A72" t="s">
        <v>57</v>
      </c>
      <c r="B72" t="s">
        <v>52</v>
      </c>
      <c r="C72">
        <v>200</v>
      </c>
      <c r="D72" t="s">
        <v>89</v>
      </c>
      <c r="E72" t="s">
        <v>58</v>
      </c>
    </row>
    <row r="73" spans="1:5" x14ac:dyDescent="0.2">
      <c r="A73" t="s">
        <v>59</v>
      </c>
      <c r="B73" t="s">
        <v>22</v>
      </c>
      <c r="C73">
        <v>-2.2999999999999998</v>
      </c>
      <c r="D73" t="s">
        <v>74</v>
      </c>
    </row>
    <row r="74" spans="1:5" x14ac:dyDescent="0.2">
      <c r="A74" t="s">
        <v>59</v>
      </c>
      <c r="B74" t="s">
        <v>60</v>
      </c>
      <c r="C74">
        <v>-8.3000000000000007</v>
      </c>
      <c r="D74" t="s">
        <v>82</v>
      </c>
    </row>
    <row r="75" spans="1:5" x14ac:dyDescent="0.2">
      <c r="A75" t="s">
        <v>61</v>
      </c>
      <c r="B75" t="s">
        <v>62</v>
      </c>
      <c r="C75">
        <v>-1</v>
      </c>
      <c r="D75" t="s">
        <v>82</v>
      </c>
    </row>
    <row r="76" spans="1:5" x14ac:dyDescent="0.2">
      <c r="A76" t="s">
        <v>63</v>
      </c>
      <c r="B76" t="s">
        <v>20</v>
      </c>
      <c r="C76">
        <v>-9.8800000000000008</v>
      </c>
      <c r="D76" t="s">
        <v>86</v>
      </c>
    </row>
    <row r="77" spans="1:5" x14ac:dyDescent="0.2">
      <c r="A77" t="s">
        <v>63</v>
      </c>
      <c r="B77" t="s">
        <v>22</v>
      </c>
      <c r="C77">
        <v>-2.2999999999999998</v>
      </c>
      <c r="D77" t="s">
        <v>74</v>
      </c>
    </row>
    <row r="78" spans="1:5" x14ac:dyDescent="0.2">
      <c r="A78" t="s">
        <v>63</v>
      </c>
      <c r="B78" t="s">
        <v>20</v>
      </c>
      <c r="C78">
        <v>-1.95</v>
      </c>
      <c r="D78" t="s">
        <v>86</v>
      </c>
    </row>
    <row r="79" spans="1:5" x14ac:dyDescent="0.2">
      <c r="A79" t="s">
        <v>63</v>
      </c>
      <c r="B79" t="s">
        <v>64</v>
      </c>
      <c r="C79">
        <v>-2.2200000000000002</v>
      </c>
      <c r="D79" t="s">
        <v>92</v>
      </c>
    </row>
    <row r="80" spans="1:5" x14ac:dyDescent="0.2">
      <c r="A80" t="s">
        <v>63</v>
      </c>
      <c r="B80" t="s">
        <v>27</v>
      </c>
      <c r="C80">
        <v>-20.02</v>
      </c>
      <c r="D80" t="s">
        <v>72</v>
      </c>
    </row>
    <row r="81" spans="1:4" x14ac:dyDescent="0.2">
      <c r="A81" t="s">
        <v>65</v>
      </c>
      <c r="B81" t="s">
        <v>30</v>
      </c>
      <c r="C81">
        <v>320</v>
      </c>
      <c r="D81" t="s">
        <v>89</v>
      </c>
    </row>
    <row r="82" spans="1:4" x14ac:dyDescent="0.2">
      <c r="A82" t="s">
        <v>65</v>
      </c>
      <c r="B82" t="s">
        <v>52</v>
      </c>
      <c r="C82">
        <f>412-200</f>
        <v>212</v>
      </c>
      <c r="D82" t="s">
        <v>89</v>
      </c>
    </row>
    <row r="83" spans="1:4" x14ac:dyDescent="0.2">
      <c r="A83" t="s">
        <v>66</v>
      </c>
      <c r="B83" t="s">
        <v>24</v>
      </c>
      <c r="C83">
        <v>-15</v>
      </c>
      <c r="D83" t="s">
        <v>72</v>
      </c>
    </row>
    <row r="84" spans="1:4" x14ac:dyDescent="0.2">
      <c r="A84" t="s">
        <v>66</v>
      </c>
      <c r="B84" t="s">
        <v>56</v>
      </c>
      <c r="C84">
        <v>-4.4800000000000004</v>
      </c>
      <c r="D84" t="s">
        <v>86</v>
      </c>
    </row>
    <row r="85" spans="1:4" x14ac:dyDescent="0.2">
      <c r="A85" t="s">
        <v>66</v>
      </c>
      <c r="B85" t="s">
        <v>18</v>
      </c>
      <c r="C85">
        <v>-4.22</v>
      </c>
      <c r="D85" t="s">
        <v>82</v>
      </c>
    </row>
    <row r="86" spans="1:4" x14ac:dyDescent="0.2">
      <c r="A86" t="s">
        <v>66</v>
      </c>
      <c r="B86" t="s">
        <v>9</v>
      </c>
      <c r="C86">
        <v>-1.9</v>
      </c>
      <c r="D86" t="s">
        <v>82</v>
      </c>
    </row>
    <row r="87" spans="1:4" x14ac:dyDescent="0.2">
      <c r="A87" t="s">
        <v>66</v>
      </c>
      <c r="B87" t="s">
        <v>67</v>
      </c>
      <c r="C87">
        <v>-6.17</v>
      </c>
      <c r="D87" t="s">
        <v>86</v>
      </c>
    </row>
    <row r="88" spans="1:4" x14ac:dyDescent="0.2">
      <c r="A88" t="s">
        <v>68</v>
      </c>
      <c r="B88" t="s">
        <v>34</v>
      </c>
      <c r="C88">
        <v>-10</v>
      </c>
      <c r="D88" t="s">
        <v>77</v>
      </c>
    </row>
    <row r="89" spans="1:4" x14ac:dyDescent="0.2">
      <c r="A89" t="s">
        <v>68</v>
      </c>
      <c r="B89" t="s">
        <v>24</v>
      </c>
      <c r="C89">
        <v>-30</v>
      </c>
      <c r="D89" t="s">
        <v>72</v>
      </c>
    </row>
    <row r="90" spans="1:4" x14ac:dyDescent="0.2">
      <c r="A90" t="s">
        <v>68</v>
      </c>
      <c r="B90" t="s">
        <v>9</v>
      </c>
      <c r="C90">
        <v>-1.9</v>
      </c>
      <c r="D90" t="s">
        <v>82</v>
      </c>
    </row>
    <row r="91" spans="1:4" x14ac:dyDescent="0.2">
      <c r="A91" t="s">
        <v>69</v>
      </c>
      <c r="B91" t="s">
        <v>34</v>
      </c>
      <c r="C91">
        <v>-5</v>
      </c>
      <c r="D91" t="s">
        <v>77</v>
      </c>
    </row>
    <row r="92" spans="1:4" x14ac:dyDescent="0.2">
      <c r="A92" t="s">
        <v>70</v>
      </c>
      <c r="B92" t="s">
        <v>20</v>
      </c>
      <c r="C92">
        <v>-0.95</v>
      </c>
      <c r="D92" t="s">
        <v>86</v>
      </c>
    </row>
    <row r="93" spans="1:4" x14ac:dyDescent="0.2">
      <c r="A93" t="s">
        <v>70</v>
      </c>
      <c r="B93" t="s">
        <v>20</v>
      </c>
      <c r="C93">
        <v>-3.13</v>
      </c>
      <c r="D93" t="s">
        <v>86</v>
      </c>
    </row>
    <row r="94" spans="1:4" x14ac:dyDescent="0.2">
      <c r="A94" t="s">
        <v>70</v>
      </c>
      <c r="B94" t="s">
        <v>7</v>
      </c>
      <c r="C94">
        <v>-3</v>
      </c>
      <c r="D94" t="s">
        <v>77</v>
      </c>
    </row>
    <row r="95" spans="1:4" x14ac:dyDescent="0.2">
      <c r="A95" s="1">
        <v>45839</v>
      </c>
      <c r="B95" t="s">
        <v>71</v>
      </c>
      <c r="C95">
        <v>10</v>
      </c>
      <c r="D95" t="s">
        <v>72</v>
      </c>
    </row>
    <row r="96" spans="1:4" x14ac:dyDescent="0.2">
      <c r="A96" s="1">
        <v>45840</v>
      </c>
      <c r="B96" t="s">
        <v>73</v>
      </c>
      <c r="C96">
        <v>-3</v>
      </c>
      <c r="D96" t="s">
        <v>74</v>
      </c>
    </row>
    <row r="97" spans="1:4" x14ac:dyDescent="0.2">
      <c r="A97" s="1">
        <v>45841</v>
      </c>
      <c r="B97" t="s">
        <v>75</v>
      </c>
      <c r="C97">
        <v>-10</v>
      </c>
      <c r="D97" t="s">
        <v>77</v>
      </c>
    </row>
    <row r="98" spans="1:4" x14ac:dyDescent="0.2">
      <c r="A98" s="1">
        <v>45841</v>
      </c>
      <c r="B98" t="s">
        <v>76</v>
      </c>
      <c r="C98">
        <v>-5</v>
      </c>
      <c r="D98" t="s">
        <v>78</v>
      </c>
    </row>
    <row r="99" spans="1:4" x14ac:dyDescent="0.2">
      <c r="A99" s="1">
        <v>45842</v>
      </c>
      <c r="B99" t="s">
        <v>71</v>
      </c>
      <c r="C99">
        <v>20</v>
      </c>
      <c r="D99" t="s">
        <v>72</v>
      </c>
    </row>
    <row r="100" spans="1:4" x14ac:dyDescent="0.2">
      <c r="A100" s="1">
        <v>45847</v>
      </c>
      <c r="B100" t="s">
        <v>79</v>
      </c>
      <c r="C100">
        <v>-15</v>
      </c>
      <c r="D100" t="s">
        <v>78</v>
      </c>
    </row>
    <row r="101" spans="1:4" x14ac:dyDescent="0.2">
      <c r="A101" s="1">
        <v>45851</v>
      </c>
      <c r="B101" t="s">
        <v>80</v>
      </c>
      <c r="C101">
        <v>-10</v>
      </c>
      <c r="D101" t="s">
        <v>77</v>
      </c>
    </row>
    <row r="102" spans="1:4" x14ac:dyDescent="0.2">
      <c r="A102" s="1">
        <v>45854</v>
      </c>
      <c r="B102" t="s">
        <v>81</v>
      </c>
      <c r="C102">
        <v>-7</v>
      </c>
      <c r="D102" t="s">
        <v>82</v>
      </c>
    </row>
    <row r="103" spans="1:4" x14ac:dyDescent="0.2">
      <c r="A103" s="1">
        <v>45857</v>
      </c>
      <c r="B103" t="s">
        <v>71</v>
      </c>
      <c r="C103">
        <v>25</v>
      </c>
      <c r="D103" t="s">
        <v>72</v>
      </c>
    </row>
    <row r="104" spans="1:4" x14ac:dyDescent="0.2">
      <c r="A104" s="1">
        <v>45858</v>
      </c>
      <c r="B104" t="s">
        <v>83</v>
      </c>
      <c r="C104">
        <v>5</v>
      </c>
      <c r="D104" t="s">
        <v>77</v>
      </c>
    </row>
    <row r="105" spans="1:4" x14ac:dyDescent="0.2">
      <c r="A105" s="1">
        <v>45861</v>
      </c>
      <c r="B105" t="s">
        <v>75</v>
      </c>
      <c r="C105">
        <v>-10</v>
      </c>
      <c r="D105" t="s">
        <v>77</v>
      </c>
    </row>
    <row r="106" spans="1:4" x14ac:dyDescent="0.2">
      <c r="A106" s="1">
        <v>45866</v>
      </c>
      <c r="B106" s="2" t="s">
        <v>71</v>
      </c>
      <c r="C106">
        <v>20</v>
      </c>
      <c r="D106" t="s">
        <v>72</v>
      </c>
    </row>
    <row r="107" spans="1:4" x14ac:dyDescent="0.2">
      <c r="A107" s="1">
        <v>45866</v>
      </c>
      <c r="B107" t="s">
        <v>84</v>
      </c>
      <c r="C107">
        <v>-10</v>
      </c>
      <c r="D107" t="s">
        <v>82</v>
      </c>
    </row>
    <row r="108" spans="1:4" x14ac:dyDescent="0.2">
      <c r="A108" s="1" t="s">
        <v>106</v>
      </c>
      <c r="B108" t="s">
        <v>107</v>
      </c>
      <c r="C108">
        <v>20</v>
      </c>
      <c r="D108" t="s">
        <v>89</v>
      </c>
    </row>
    <row r="109" spans="1:4" x14ac:dyDescent="0.2">
      <c r="A109" s="1"/>
      <c r="C109">
        <f>SUM(Table1[amount])</f>
        <v>1083.7099999999996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7957-9340-424D-A056-CC6A714589D3}">
  <dimension ref="A1:C28"/>
  <sheetViews>
    <sheetView tabSelected="1" zoomScale="158" workbookViewId="0">
      <selection activeCell="C5" sqref="C5"/>
    </sheetView>
  </sheetViews>
  <sheetFormatPr baseColWidth="10" defaultRowHeight="15" x14ac:dyDescent="0.2"/>
  <cols>
    <col min="1" max="1" width="26" bestFit="1" customWidth="1"/>
    <col min="2" max="2" width="25.6640625" customWidth="1"/>
  </cols>
  <sheetData>
    <row r="1" spans="1:3" ht="16" x14ac:dyDescent="0.2">
      <c r="A1" s="3" t="s">
        <v>93</v>
      </c>
      <c r="B1" s="4">
        <v>278</v>
      </c>
    </row>
    <row r="2" spans="1:3" ht="16" x14ac:dyDescent="0.2">
      <c r="A2" s="5" t="s">
        <v>94</v>
      </c>
      <c r="B2" s="6">
        <v>614</v>
      </c>
    </row>
    <row r="3" spans="1:3" ht="16" x14ac:dyDescent="0.2">
      <c r="A3" s="5" t="s">
        <v>95</v>
      </c>
      <c r="B3" s="6">
        <v>155</v>
      </c>
    </row>
    <row r="4" spans="1:3" ht="16" x14ac:dyDescent="0.2">
      <c r="A4" s="5" t="s">
        <v>96</v>
      </c>
      <c r="B4" s="16">
        <v>-600</v>
      </c>
    </row>
    <row r="5" spans="1:3" ht="16" x14ac:dyDescent="0.2">
      <c r="A5" s="5"/>
      <c r="B5" s="8"/>
      <c r="C5" s="17"/>
    </row>
    <row r="6" spans="1:3" ht="16" x14ac:dyDescent="0.2">
      <c r="A6" s="5" t="s">
        <v>97</v>
      </c>
      <c r="B6" s="6">
        <v>295</v>
      </c>
    </row>
    <row r="7" spans="1:3" ht="16" x14ac:dyDescent="0.2">
      <c r="A7" s="5" t="s">
        <v>98</v>
      </c>
      <c r="B7" s="9">
        <v>1000</v>
      </c>
    </row>
    <row r="8" spans="1:3" ht="16" x14ac:dyDescent="0.2">
      <c r="A8" s="5" t="s">
        <v>99</v>
      </c>
      <c r="B8" s="6">
        <v>400</v>
      </c>
    </row>
    <row r="9" spans="1:3" ht="16" x14ac:dyDescent="0.2">
      <c r="A9" s="5" t="s">
        <v>100</v>
      </c>
      <c r="B9" s="6">
        <v>120</v>
      </c>
    </row>
    <row r="10" spans="1:3" ht="16" x14ac:dyDescent="0.2">
      <c r="A10" s="7"/>
      <c r="B10" s="7"/>
    </row>
    <row r="11" spans="1:3" ht="16" x14ac:dyDescent="0.2">
      <c r="A11" s="7"/>
      <c r="B11" s="7"/>
    </row>
    <row r="12" spans="1:3" ht="20" x14ac:dyDescent="0.25">
      <c r="A12" s="12" t="s">
        <v>101</v>
      </c>
      <c r="B12" s="12"/>
    </row>
    <row r="13" spans="1:3" ht="16" x14ac:dyDescent="0.2">
      <c r="A13" s="5" t="s">
        <v>86</v>
      </c>
      <c r="B13" s="8">
        <f>SUMIF(Table1[category],Stats!A13,Table1[amount])</f>
        <v>-63.290000000000013</v>
      </c>
    </row>
    <row r="14" spans="1:3" ht="16" x14ac:dyDescent="0.2">
      <c r="A14" s="5" t="s">
        <v>72</v>
      </c>
      <c r="B14" s="8">
        <f>SUMIF(Table1[category],Stats!A14,Table1[amount])</f>
        <v>-144.80000000000001</v>
      </c>
    </row>
    <row r="15" spans="1:3" ht="16" x14ac:dyDescent="0.2">
      <c r="A15" s="5" t="s">
        <v>74</v>
      </c>
      <c r="B15" s="8">
        <f>SUMIF(Table1[category],Stats!A15,Table1[amount])</f>
        <v>-14.5</v>
      </c>
    </row>
    <row r="16" spans="1:3" ht="16" x14ac:dyDescent="0.2">
      <c r="A16" s="5" t="s">
        <v>82</v>
      </c>
      <c r="B16" s="8">
        <f>SUMIF(Table1[category],Stats!A16,Table1[amount])</f>
        <v>-80.010000000000005</v>
      </c>
    </row>
    <row r="17" spans="1:2" ht="16" x14ac:dyDescent="0.2">
      <c r="A17" s="5" t="s">
        <v>87</v>
      </c>
      <c r="B17" s="8">
        <f>SUMIF(Table1[category],Stats!A17,Table1[amount])</f>
        <v>-17.829999999999998</v>
      </c>
    </row>
    <row r="18" spans="1:2" ht="16" x14ac:dyDescent="0.2">
      <c r="A18" s="5" t="s">
        <v>102</v>
      </c>
      <c r="B18" s="8">
        <f>SUMIF(Table1[category],Stats!A18,Table1[amount])</f>
        <v>0</v>
      </c>
    </row>
    <row r="19" spans="1:2" ht="16" x14ac:dyDescent="0.2">
      <c r="A19" s="5" t="s">
        <v>103</v>
      </c>
      <c r="B19" s="8">
        <f>SUMIF(Table1[category],Stats!A19,Table1[amount])</f>
        <v>0</v>
      </c>
    </row>
    <row r="20" spans="1:2" ht="16" x14ac:dyDescent="0.2">
      <c r="A20" s="5" t="s">
        <v>78</v>
      </c>
      <c r="B20" s="8">
        <f>SUMIF(Table1[category],Stats!A20,Table1[amount])</f>
        <v>-29.52</v>
      </c>
    </row>
    <row r="21" spans="1:2" ht="16" x14ac:dyDescent="0.2">
      <c r="A21" s="5" t="s">
        <v>104</v>
      </c>
      <c r="B21" s="8">
        <f>SUMIF(Table1[category],Stats!A21,Table1[amount])</f>
        <v>0</v>
      </c>
    </row>
    <row r="22" spans="1:2" ht="16" x14ac:dyDescent="0.2">
      <c r="A22" s="5" t="s">
        <v>90</v>
      </c>
      <c r="B22" s="8">
        <f>SUMIF(Table1[category],Stats!A22,Table1[amount])</f>
        <v>-4.29</v>
      </c>
    </row>
    <row r="23" spans="1:2" ht="16" x14ac:dyDescent="0.2">
      <c r="A23" s="5" t="s">
        <v>92</v>
      </c>
      <c r="B23" s="8">
        <f>SUMIF(Table1[category],Stats!A23,Table1[amount])</f>
        <v>-52.22</v>
      </c>
    </row>
    <row r="24" spans="1:2" ht="16" x14ac:dyDescent="0.2">
      <c r="A24" s="5" t="s">
        <v>77</v>
      </c>
      <c r="B24" s="8">
        <f>SUMIF(Table1[category],Stats!A24,Table1[amount])</f>
        <v>-86.83</v>
      </c>
    </row>
    <row r="25" spans="1:2" ht="16" x14ac:dyDescent="0.2">
      <c r="A25" s="10" t="s">
        <v>105</v>
      </c>
      <c r="B25" s="8">
        <f>SUM(B13:B24)</f>
        <v>-493.29</v>
      </c>
    </row>
    <row r="26" spans="1:2" ht="16" x14ac:dyDescent="0.2">
      <c r="A26" s="13"/>
      <c r="B26" s="14"/>
    </row>
    <row r="27" spans="1:2" ht="16" x14ac:dyDescent="0.2">
      <c r="A27" s="5" t="s">
        <v>89</v>
      </c>
      <c r="B27" s="8">
        <f>SUMIF(Table1[category],Stats!A27,Table1[amount])</f>
        <v>1577</v>
      </c>
    </row>
    <row r="28" spans="1:2" x14ac:dyDescent="0.2">
      <c r="A28" s="2"/>
      <c r="B28" s="11">
        <f>SUM(B25,B27)</f>
        <v>1083.71</v>
      </c>
    </row>
  </sheetData>
  <mergeCells count="2">
    <mergeCell ref="A12:B12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Semeniuk</cp:lastModifiedBy>
  <dcterms:created xsi:type="dcterms:W3CDTF">2025-08-01T20:56:12Z</dcterms:created>
  <dcterms:modified xsi:type="dcterms:W3CDTF">2025-08-01T21:35:36Z</dcterms:modified>
</cp:coreProperties>
</file>