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test/Documents/Documents/Personal/finance-tracker/excel/monthly/"/>
    </mc:Choice>
  </mc:AlternateContent>
  <xr:revisionPtr revIDLastSave="0" documentId="13_ncr:1_{7823D8A1-6F18-2E40-89C7-9F66254ACAA4}" xr6:coauthVersionLast="47" xr6:coauthVersionMax="47" xr10:uidLastSave="{00000000-0000-0000-0000-000000000000}"/>
  <bookViews>
    <workbookView xWindow="0" yWindow="620" windowWidth="50800" windowHeight="25820" activeTab="1" xr2:uid="{00000000-000D-0000-FFFF-FFFF00000000}"/>
  </bookViews>
  <sheets>
    <sheet name="Transactions" sheetId="1" r:id="rId1"/>
    <sheet name="Sta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2" l="1"/>
  <c r="C24" i="2"/>
  <c r="C23" i="2"/>
  <c r="C22" i="2"/>
  <c r="C21" i="2"/>
  <c r="C20" i="2"/>
  <c r="C19" i="2"/>
  <c r="C18" i="2"/>
  <c r="C17" i="2"/>
  <c r="C16" i="2"/>
  <c r="C15" i="2"/>
  <c r="C14" i="2"/>
  <c r="C13" i="2"/>
  <c r="C118" i="1"/>
  <c r="C27" i="2" l="1"/>
</calcChain>
</file>

<file path=xl/sharedStrings.xml><?xml version="1.0" encoding="utf-8"?>
<sst xmlns="http://schemas.openxmlformats.org/spreadsheetml/2006/main" count="365" uniqueCount="93">
  <si>
    <t>txn_date</t>
  </si>
  <si>
    <t>description</t>
  </si>
  <si>
    <t>amount</t>
  </si>
  <si>
    <t>category</t>
  </si>
  <si>
    <t>note</t>
  </si>
  <si>
    <t>29/09/2025</t>
  </si>
  <si>
    <t>McDonald's</t>
  </si>
  <si>
    <t>Plodine</t>
  </si>
  <si>
    <t>30/09/2025</t>
  </si>
  <si>
    <t>Bmove</t>
  </si>
  <si>
    <t>Restoran Kampus</t>
  </si>
  <si>
    <t>Mlinar</t>
  </si>
  <si>
    <t>Dante Bar</t>
  </si>
  <si>
    <t>SPAR Food &amp; Fuel</t>
  </si>
  <si>
    <t>INA</t>
  </si>
  <si>
    <t>01/10/2025</t>
  </si>
  <si>
    <t>Naplata naknade za vođenje računa</t>
  </si>
  <si>
    <t>Kaufland</t>
  </si>
  <si>
    <t>02/10/2025</t>
  </si>
  <si>
    <t>U17357273 Dmytro Semeniuk</t>
  </si>
  <si>
    <t>03/10/2025</t>
  </si>
  <si>
    <t>04/10/2025</t>
  </si>
  <si>
    <t>Fresh Corner Café</t>
  </si>
  <si>
    <t>Chatgpt</t>
  </si>
  <si>
    <t>462765XXXXXX9899, LINKS PJ RIJEKA RIJEKA</t>
  </si>
  <si>
    <t>05/10/2025</t>
  </si>
  <si>
    <t>YouTube</t>
  </si>
  <si>
    <t>OpenAI</t>
  </si>
  <si>
    <t>06/10/2025</t>
  </si>
  <si>
    <t>Transfer from ARTUR NASIROV</t>
  </si>
  <si>
    <t>07/10/2025</t>
  </si>
  <si>
    <t>Apple</t>
  </si>
  <si>
    <t>Govendi Time D.o.o.</t>
  </si>
  <si>
    <t>08/10/2025</t>
  </si>
  <si>
    <t>Caffe Bar Formula</t>
  </si>
  <si>
    <t>09/10/2025</t>
  </si>
  <si>
    <t>10/10/2025</t>
  </si>
  <si>
    <t>11/10/2025</t>
  </si>
  <si>
    <t>13/10/2025</t>
  </si>
  <si>
    <t>14/10/2025</t>
  </si>
  <si>
    <t>15/10/2025</t>
  </si>
  <si>
    <t>Funpay</t>
  </si>
  <si>
    <t>16/10/2025</t>
  </si>
  <si>
    <t>Transfer to ARTUR NASIROV</t>
  </si>
  <si>
    <t>17/10/2025</t>
  </si>
  <si>
    <t>Gavranović</t>
  </si>
  <si>
    <t>18/10/2025</t>
  </si>
  <si>
    <t>Київстар</t>
  </si>
  <si>
    <t>19/10/2025</t>
  </si>
  <si>
    <t>20/10/2025</t>
  </si>
  <si>
    <t>21/10/2025</t>
  </si>
  <si>
    <t>22/10/2025</t>
  </si>
  <si>
    <t>Index</t>
  </si>
  <si>
    <t>23/10/2025</t>
  </si>
  <si>
    <t>Studenac</t>
  </si>
  <si>
    <t>24/10/2025</t>
  </si>
  <si>
    <t>25/10/2025</t>
  </si>
  <si>
    <t>Rijeka Trans</t>
  </si>
  <si>
    <t>26/10/2025</t>
  </si>
  <si>
    <t>PayPal</t>
  </si>
  <si>
    <t>27/10/2025</t>
  </si>
  <si>
    <t>28/10/2025</t>
  </si>
  <si>
    <t>Tedi</t>
  </si>
  <si>
    <t>30/10/2025</t>
  </si>
  <si>
    <t>Pekarna Dafina</t>
  </si>
  <si>
    <t>462765XXXXXX9899, RIJEKA TRANS KUKULJANOVO</t>
  </si>
  <si>
    <t>31/10/2025</t>
  </si>
  <si>
    <t>CASH</t>
  </si>
  <si>
    <t>ERSTE</t>
  </si>
  <si>
    <t>REVOLUT</t>
  </si>
  <si>
    <t>MONOBANK</t>
  </si>
  <si>
    <t>STOCKS INVESTMENTS</t>
  </si>
  <si>
    <t>CRYPTO INVESTMENTS</t>
  </si>
  <si>
    <t>EMERGENCY FUND</t>
  </si>
  <si>
    <t>Savings</t>
  </si>
  <si>
    <t>SPENT BY CATEGORIES</t>
  </si>
  <si>
    <t>Groceries</t>
  </si>
  <si>
    <t>Transportation</t>
  </si>
  <si>
    <t>Coffee</t>
  </si>
  <si>
    <t>Dining &amp; Restaurants</t>
  </si>
  <si>
    <t>Shopping</t>
  </si>
  <si>
    <t>Home</t>
  </si>
  <si>
    <t>Cash Withdrawals</t>
  </si>
  <si>
    <t>Entertainment &amp; Subscriptions</t>
  </si>
  <si>
    <t>Travelling</t>
  </si>
  <si>
    <t>Education &amp; Studying</t>
  </si>
  <si>
    <t>Other</t>
  </si>
  <si>
    <t>Investments</t>
  </si>
  <si>
    <t>Income</t>
  </si>
  <si>
    <t>600 доларів в крипті</t>
  </si>
  <si>
    <t>Vine on festival</t>
  </si>
  <si>
    <t>Кофе боннавія</t>
  </si>
  <si>
    <t>Гараж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</si>
</sst>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[$€-2]\ * #,##0.00_);_([$€-2]\ * \(#,##0.00\);_([$€-2]\ * &quot;-&quot;??_);_(@_)"/>
    <numFmt numFmtId="165" formatCode="_([$UAH]\ * #,##0.00_);_([$UAH]\ * \(#,##0.00\);_([$UAH]\ 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000000"/>
      <name val="Aptos Narrow"/>
      <family val="2"/>
    </font>
    <font>
      <sz val="11"/>
      <color rgb="FF000000"/>
      <name val="Calibri"/>
      <family val="2"/>
      <scheme val="minor"/>
    </font>
    <font>
      <sz val="15"/>
      <color rgb="FFFFFFFF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83CCEB"/>
        <bgColor rgb="FF000000"/>
      </patternFill>
    </fill>
    <fill>
      <patternFill patternType="solid">
        <fgColor rgb="FF83CCEC"/>
        <bgColor rgb="FF000000"/>
      </patternFill>
    </fill>
    <fill>
      <patternFill patternType="solid">
        <fgColor rgb="FFFF0000"/>
        <bgColor rgb="FF000000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/>
    <xf numFmtId="16" fontId="0" fillId="0" borderId="0" xfId="0" applyNumberFormat="1"/>
    <xf numFmtId="0" fontId="4" fillId="3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1" fillId="0" borderId="3" xfId="0" applyFont="1" applyBorder="1" applyAlignment="1">
      <alignment horizontal="center" vertical="top"/>
    </xf>
    <xf numFmtId="0" fontId="0" fillId="0" borderId="0" xfId="0" applyAlignment="1"/>
    <xf numFmtId="0" fontId="2" fillId="2" borderId="1" xfId="0" applyFont="1" applyFill="1" applyBorder="1" applyAlignment="1"/>
    <xf numFmtId="164" fontId="2" fillId="2" borderId="2" xfId="0" applyNumberFormat="1" applyFont="1" applyFill="1" applyBorder="1" applyAlignment="1"/>
    <xf numFmtId="0" fontId="2" fillId="2" borderId="3" xfId="0" applyFont="1" applyFill="1" applyBorder="1" applyAlignment="1"/>
    <xf numFmtId="164" fontId="2" fillId="2" borderId="4" xfId="0" applyNumberFormat="1" applyFont="1" applyFill="1" applyBorder="1" applyAlignment="1"/>
    <xf numFmtId="165" fontId="2" fillId="2" borderId="4" xfId="0" applyNumberFormat="1" applyFont="1" applyFill="1" applyBorder="1" applyAlignment="1"/>
    <xf numFmtId="0" fontId="2" fillId="2" borderId="4" xfId="0" applyFont="1" applyFill="1" applyBorder="1" applyAlignment="1"/>
    <xf numFmtId="44" fontId="2" fillId="2" borderId="4" xfId="0" applyNumberFormat="1" applyFont="1" applyFill="1" applyBorder="1" applyAlignment="1"/>
    <xf numFmtId="0" fontId="3" fillId="0" borderId="0" xfId="0" applyFont="1" applyAlignment="1"/>
    <xf numFmtId="2" fontId="3" fillId="4" borderId="0" xfId="0" applyNumberFormat="1" applyFont="1" applyFill="1" applyAlignment="1"/>
  </cellXfs>
  <cellStyles count="1">
    <cellStyle name="Normal" xfId="0" builtinId="0"/>
  </cellStyles>
  <dxfs count="5">
    <dxf>
      <numFmt numFmtId="21" formatCode="d\-mmm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1" formatCode="d\-mmm"/>
    </dxf>
    <dxf>
      <border outline="0">
        <bottom style="thin">
          <color indexed="64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284803-AB71-494C-8AB7-69C30E587053}" name="Table1" displayName="Table1" ref="A1:E118" totalsRowCount="1" headerRowDxfId="1" headerRowBorderDxfId="3" tableBorderDxfId="4">
  <autoFilter ref="A1:E117" xr:uid="{55284803-AB71-494C-8AB7-69C30E587053}"/>
  <tableColumns count="5">
    <tableColumn id="1" xr3:uid="{E47DCF3A-36AB-8145-8C6C-E3DA91030431}" name="txn_date" dataDxfId="2" totalsRowDxfId="0"/>
    <tableColumn id="2" xr3:uid="{ED329D5C-532E-884A-9415-854F5E17D2D1}" name="description"/>
    <tableColumn id="3" xr3:uid="{4A07FE58-E2CE-E047-B460-55CC5CF7E0A5}" name="amount" totalsRowFunction="custom">
      <totalsRowFormula>SUM(Table1[amount])</totalsRowFormula>
    </tableColumn>
    <tableColumn id="4" xr3:uid="{DBF40D95-02DB-C04E-AAD8-58ED1CDECD5B}" name="category"/>
    <tableColumn id="5" xr3:uid="{44ACEBD6-B82F-5A4F-9879-135565B42726}" name="note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8"/>
  <sheetViews>
    <sheetView topLeftCell="A94" zoomScale="144" workbookViewId="0">
      <selection activeCell="F118" sqref="F118"/>
    </sheetView>
  </sheetViews>
  <sheetFormatPr baseColWidth="10" defaultColWidth="8.83203125" defaultRowHeight="15" x14ac:dyDescent="0.2"/>
  <cols>
    <col min="1" max="1" width="10.5" bestFit="1" customWidth="1"/>
    <col min="2" max="2" width="60.83203125" bestFit="1" customWidth="1"/>
    <col min="4" max="4" width="29" bestFit="1" customWidth="1"/>
  </cols>
  <sheetData>
    <row r="1" spans="1:5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 x14ac:dyDescent="0.2">
      <c r="A2" t="s">
        <v>5</v>
      </c>
      <c r="B2" t="s">
        <v>6</v>
      </c>
      <c r="C2">
        <v>-2.6</v>
      </c>
      <c r="D2" t="s">
        <v>79</v>
      </c>
    </row>
    <row r="3" spans="1:5" x14ac:dyDescent="0.2">
      <c r="A3" t="s">
        <v>5</v>
      </c>
      <c r="B3" t="s">
        <v>7</v>
      </c>
      <c r="C3">
        <v>-1.1000000000000001</v>
      </c>
      <c r="D3" t="s">
        <v>76</v>
      </c>
    </row>
    <row r="4" spans="1:5" x14ac:dyDescent="0.2">
      <c r="A4" t="s">
        <v>8</v>
      </c>
      <c r="B4" t="s">
        <v>9</v>
      </c>
      <c r="C4">
        <v>-0.6</v>
      </c>
      <c r="D4" t="s">
        <v>77</v>
      </c>
    </row>
    <row r="5" spans="1:5" x14ac:dyDescent="0.2">
      <c r="A5" t="s">
        <v>8</v>
      </c>
      <c r="B5" t="s">
        <v>10</v>
      </c>
      <c r="C5">
        <v>-1.66</v>
      </c>
      <c r="D5" t="s">
        <v>79</v>
      </c>
    </row>
    <row r="6" spans="1:5" x14ac:dyDescent="0.2">
      <c r="A6" t="s">
        <v>8</v>
      </c>
      <c r="B6" t="s">
        <v>11</v>
      </c>
      <c r="C6">
        <v>-2.2000000000000002</v>
      </c>
      <c r="D6" t="s">
        <v>79</v>
      </c>
    </row>
    <row r="7" spans="1:5" x14ac:dyDescent="0.2">
      <c r="A7" t="s">
        <v>8</v>
      </c>
      <c r="B7" t="s">
        <v>12</v>
      </c>
      <c r="C7">
        <v>-2.2999999999999998</v>
      </c>
      <c r="D7" t="s">
        <v>78</v>
      </c>
    </row>
    <row r="8" spans="1:5" x14ac:dyDescent="0.2">
      <c r="A8" t="s">
        <v>8</v>
      </c>
      <c r="B8" t="s">
        <v>13</v>
      </c>
      <c r="C8">
        <v>-2.1800000000000002</v>
      </c>
      <c r="D8" t="s">
        <v>79</v>
      </c>
    </row>
    <row r="9" spans="1:5" x14ac:dyDescent="0.2">
      <c r="A9" t="s">
        <v>8</v>
      </c>
      <c r="B9" t="s">
        <v>14</v>
      </c>
      <c r="C9">
        <v>-20.2</v>
      </c>
      <c r="D9" t="s">
        <v>77</v>
      </c>
    </row>
    <row r="10" spans="1:5" x14ac:dyDescent="0.2">
      <c r="A10" t="s">
        <v>15</v>
      </c>
      <c r="B10" t="s">
        <v>16</v>
      </c>
      <c r="C10">
        <v>-3</v>
      </c>
      <c r="D10" t="s">
        <v>86</v>
      </c>
    </row>
    <row r="11" spans="1:5" x14ac:dyDescent="0.2">
      <c r="A11" t="s">
        <v>15</v>
      </c>
      <c r="B11" t="s">
        <v>10</v>
      </c>
      <c r="C11">
        <v>-4.82</v>
      </c>
      <c r="D11" t="s">
        <v>79</v>
      </c>
    </row>
    <row r="12" spans="1:5" x14ac:dyDescent="0.2">
      <c r="A12" t="s">
        <v>15</v>
      </c>
      <c r="B12" t="s">
        <v>17</v>
      </c>
      <c r="C12">
        <v>-1.51</v>
      </c>
      <c r="D12" t="s">
        <v>76</v>
      </c>
    </row>
    <row r="13" spans="1:5" x14ac:dyDescent="0.2">
      <c r="A13" t="s">
        <v>18</v>
      </c>
      <c r="B13" t="s">
        <v>10</v>
      </c>
      <c r="C13">
        <v>-2.86</v>
      </c>
      <c r="D13" t="s">
        <v>79</v>
      </c>
    </row>
    <row r="14" spans="1:5" x14ac:dyDescent="0.2">
      <c r="A14" t="s">
        <v>18</v>
      </c>
      <c r="B14" t="s">
        <v>11</v>
      </c>
      <c r="C14">
        <v>-1.3</v>
      </c>
      <c r="D14" t="s">
        <v>79</v>
      </c>
    </row>
    <row r="15" spans="1:5" x14ac:dyDescent="0.2">
      <c r="A15" t="s">
        <v>18</v>
      </c>
      <c r="B15" t="s">
        <v>19</v>
      </c>
      <c r="C15">
        <v>-50</v>
      </c>
      <c r="D15" t="s">
        <v>87</v>
      </c>
    </row>
    <row r="16" spans="1:5" x14ac:dyDescent="0.2">
      <c r="A16" t="s">
        <v>18</v>
      </c>
      <c r="B16" t="s">
        <v>12</v>
      </c>
      <c r="C16">
        <v>-2.2999999999999998</v>
      </c>
      <c r="D16" t="s">
        <v>79</v>
      </c>
    </row>
    <row r="17" spans="1:4" x14ac:dyDescent="0.2">
      <c r="A17" t="s">
        <v>20</v>
      </c>
      <c r="B17" t="s">
        <v>7</v>
      </c>
      <c r="C17">
        <v>-0.85</v>
      </c>
      <c r="D17" t="s">
        <v>76</v>
      </c>
    </row>
    <row r="18" spans="1:4" x14ac:dyDescent="0.2">
      <c r="A18" t="s">
        <v>20</v>
      </c>
      <c r="B18" t="s">
        <v>10</v>
      </c>
      <c r="C18">
        <v>-0.74</v>
      </c>
      <c r="D18" t="s">
        <v>79</v>
      </c>
    </row>
    <row r="19" spans="1:4" x14ac:dyDescent="0.2">
      <c r="A19" t="s">
        <v>20</v>
      </c>
      <c r="B19" t="s">
        <v>10</v>
      </c>
      <c r="C19">
        <v>-1.05</v>
      </c>
      <c r="D19" t="s">
        <v>79</v>
      </c>
    </row>
    <row r="20" spans="1:4" x14ac:dyDescent="0.2">
      <c r="A20" t="s">
        <v>20</v>
      </c>
      <c r="B20" t="s">
        <v>11</v>
      </c>
      <c r="C20">
        <v>-1.3</v>
      </c>
      <c r="D20" t="s">
        <v>79</v>
      </c>
    </row>
    <row r="21" spans="1:4" x14ac:dyDescent="0.2">
      <c r="A21" t="s">
        <v>21</v>
      </c>
      <c r="B21" t="s">
        <v>22</v>
      </c>
      <c r="C21">
        <v>-2.6</v>
      </c>
      <c r="D21" t="s">
        <v>78</v>
      </c>
    </row>
    <row r="22" spans="1:4" x14ac:dyDescent="0.2">
      <c r="A22" t="s">
        <v>21</v>
      </c>
      <c r="B22" t="s">
        <v>22</v>
      </c>
      <c r="C22">
        <v>-2.9</v>
      </c>
      <c r="D22" t="s">
        <v>78</v>
      </c>
    </row>
    <row r="23" spans="1:4" x14ac:dyDescent="0.2">
      <c r="A23" t="s">
        <v>21</v>
      </c>
      <c r="B23" t="s">
        <v>23</v>
      </c>
      <c r="C23">
        <v>-18.399999999999999</v>
      </c>
      <c r="D23" t="s">
        <v>83</v>
      </c>
    </row>
    <row r="24" spans="1:4" x14ac:dyDescent="0.2">
      <c r="A24" t="s">
        <v>21</v>
      </c>
      <c r="B24" t="s">
        <v>24</v>
      </c>
      <c r="C24">
        <v>-349.99</v>
      </c>
      <c r="D24" t="s">
        <v>86</v>
      </c>
    </row>
    <row r="25" spans="1:4" x14ac:dyDescent="0.2">
      <c r="A25" t="s">
        <v>25</v>
      </c>
      <c r="B25" t="s">
        <v>26</v>
      </c>
      <c r="C25">
        <v>-3.07</v>
      </c>
      <c r="D25" t="s">
        <v>83</v>
      </c>
    </row>
    <row r="26" spans="1:4" x14ac:dyDescent="0.2">
      <c r="A26" t="s">
        <v>25</v>
      </c>
      <c r="B26" t="s">
        <v>6</v>
      </c>
      <c r="C26">
        <v>-10.7</v>
      </c>
      <c r="D26" t="s">
        <v>79</v>
      </c>
    </row>
    <row r="27" spans="1:4" x14ac:dyDescent="0.2">
      <c r="A27" t="s">
        <v>25</v>
      </c>
      <c r="B27" t="s">
        <v>27</v>
      </c>
      <c r="C27">
        <v>-5.14</v>
      </c>
      <c r="D27" t="s">
        <v>83</v>
      </c>
    </row>
    <row r="28" spans="1:4" x14ac:dyDescent="0.2">
      <c r="A28" t="s">
        <v>28</v>
      </c>
      <c r="B28" t="s">
        <v>10</v>
      </c>
      <c r="C28">
        <v>-1.32</v>
      </c>
      <c r="D28" t="s">
        <v>79</v>
      </c>
    </row>
    <row r="29" spans="1:4" x14ac:dyDescent="0.2">
      <c r="A29" t="s">
        <v>28</v>
      </c>
      <c r="B29" t="s">
        <v>12</v>
      </c>
      <c r="C29">
        <v>-2.2999999999999998</v>
      </c>
      <c r="D29" t="s">
        <v>78</v>
      </c>
    </row>
    <row r="30" spans="1:4" x14ac:dyDescent="0.2">
      <c r="A30" t="s">
        <v>28</v>
      </c>
      <c r="B30" t="s">
        <v>10</v>
      </c>
      <c r="C30">
        <v>-2.17</v>
      </c>
      <c r="D30" t="s">
        <v>79</v>
      </c>
    </row>
    <row r="31" spans="1:4" x14ac:dyDescent="0.2">
      <c r="A31" t="s">
        <v>28</v>
      </c>
      <c r="B31" t="s">
        <v>29</v>
      </c>
      <c r="C31">
        <v>20</v>
      </c>
      <c r="D31" t="s">
        <v>88</v>
      </c>
    </row>
    <row r="32" spans="1:4" x14ac:dyDescent="0.2">
      <c r="A32" t="s">
        <v>30</v>
      </c>
      <c r="B32" t="s">
        <v>10</v>
      </c>
      <c r="C32">
        <v>-1.1100000000000001</v>
      </c>
      <c r="D32" t="s">
        <v>79</v>
      </c>
    </row>
    <row r="33" spans="1:4" x14ac:dyDescent="0.2">
      <c r="A33" t="s">
        <v>30</v>
      </c>
      <c r="B33" t="s">
        <v>31</v>
      </c>
      <c r="C33">
        <v>-2.99</v>
      </c>
      <c r="D33" t="s">
        <v>83</v>
      </c>
    </row>
    <row r="34" spans="1:4" x14ac:dyDescent="0.2">
      <c r="A34" t="s">
        <v>30</v>
      </c>
      <c r="B34" t="s">
        <v>32</v>
      </c>
      <c r="C34">
        <v>-0.65</v>
      </c>
      <c r="D34" t="s">
        <v>78</v>
      </c>
    </row>
    <row r="35" spans="1:4" x14ac:dyDescent="0.2">
      <c r="A35" t="s">
        <v>30</v>
      </c>
      <c r="B35" t="s">
        <v>10</v>
      </c>
      <c r="C35">
        <v>-1.33</v>
      </c>
      <c r="D35" t="s">
        <v>79</v>
      </c>
    </row>
    <row r="36" spans="1:4" x14ac:dyDescent="0.2">
      <c r="A36" t="s">
        <v>33</v>
      </c>
      <c r="B36" t="s">
        <v>10</v>
      </c>
      <c r="C36">
        <v>-1.06</v>
      </c>
      <c r="D36" t="s">
        <v>79</v>
      </c>
    </row>
    <row r="37" spans="1:4" x14ac:dyDescent="0.2">
      <c r="A37" t="s">
        <v>33</v>
      </c>
      <c r="B37" t="s">
        <v>10</v>
      </c>
      <c r="C37">
        <v>-1.0900000000000001</v>
      </c>
      <c r="D37" t="s">
        <v>79</v>
      </c>
    </row>
    <row r="38" spans="1:4" x14ac:dyDescent="0.2">
      <c r="A38" t="s">
        <v>33</v>
      </c>
      <c r="B38" t="s">
        <v>11</v>
      </c>
      <c r="C38">
        <v>-1.3</v>
      </c>
      <c r="D38" t="s">
        <v>79</v>
      </c>
    </row>
    <row r="39" spans="1:4" x14ac:dyDescent="0.2">
      <c r="A39" t="s">
        <v>33</v>
      </c>
      <c r="B39" t="s">
        <v>34</v>
      </c>
      <c r="C39">
        <v>-1.35</v>
      </c>
      <c r="D39" t="s">
        <v>78</v>
      </c>
    </row>
    <row r="40" spans="1:4" x14ac:dyDescent="0.2">
      <c r="A40" t="s">
        <v>35</v>
      </c>
      <c r="B40" t="s">
        <v>10</v>
      </c>
      <c r="C40">
        <v>-1.82</v>
      </c>
      <c r="D40" t="s">
        <v>79</v>
      </c>
    </row>
    <row r="41" spans="1:4" x14ac:dyDescent="0.2">
      <c r="A41" t="s">
        <v>35</v>
      </c>
      <c r="B41" t="s">
        <v>34</v>
      </c>
      <c r="C41">
        <v>-1.35</v>
      </c>
      <c r="D41" t="s">
        <v>78</v>
      </c>
    </row>
    <row r="42" spans="1:4" x14ac:dyDescent="0.2">
      <c r="A42" t="s">
        <v>35</v>
      </c>
      <c r="B42" t="s">
        <v>10</v>
      </c>
      <c r="C42">
        <v>-1.1599999999999999</v>
      </c>
      <c r="D42" t="s">
        <v>79</v>
      </c>
    </row>
    <row r="43" spans="1:4" x14ac:dyDescent="0.2">
      <c r="A43" t="s">
        <v>36</v>
      </c>
      <c r="B43" t="s">
        <v>13</v>
      </c>
      <c r="C43">
        <v>-1.18</v>
      </c>
      <c r="D43" t="s">
        <v>76</v>
      </c>
    </row>
    <row r="44" spans="1:4" x14ac:dyDescent="0.2">
      <c r="A44" t="s">
        <v>36</v>
      </c>
      <c r="B44" t="s">
        <v>10</v>
      </c>
      <c r="C44">
        <v>-3.14</v>
      </c>
      <c r="D44" t="s">
        <v>79</v>
      </c>
    </row>
    <row r="45" spans="1:4" x14ac:dyDescent="0.2">
      <c r="A45" t="s">
        <v>37</v>
      </c>
      <c r="B45" t="s">
        <v>10</v>
      </c>
      <c r="C45">
        <v>-2.52</v>
      </c>
      <c r="D45" t="s">
        <v>79</v>
      </c>
    </row>
    <row r="46" spans="1:4" x14ac:dyDescent="0.2">
      <c r="A46" t="s">
        <v>37</v>
      </c>
      <c r="B46" t="s">
        <v>31</v>
      </c>
      <c r="C46">
        <v>-6.49</v>
      </c>
      <c r="D46" t="s">
        <v>83</v>
      </c>
    </row>
    <row r="47" spans="1:4" x14ac:dyDescent="0.2">
      <c r="A47" t="s">
        <v>38</v>
      </c>
      <c r="B47" t="s">
        <v>12</v>
      </c>
      <c r="C47">
        <v>-2.2999999999999998</v>
      </c>
      <c r="D47" t="s">
        <v>78</v>
      </c>
    </row>
    <row r="48" spans="1:4" x14ac:dyDescent="0.2">
      <c r="A48" t="s">
        <v>38</v>
      </c>
      <c r="B48" t="s">
        <v>10</v>
      </c>
      <c r="C48">
        <v>-1.27</v>
      </c>
      <c r="D48" t="s">
        <v>79</v>
      </c>
    </row>
    <row r="49" spans="1:4" x14ac:dyDescent="0.2">
      <c r="A49" t="s">
        <v>38</v>
      </c>
      <c r="B49" t="s">
        <v>10</v>
      </c>
      <c r="C49">
        <v>-1.04</v>
      </c>
      <c r="D49" t="s">
        <v>79</v>
      </c>
    </row>
    <row r="50" spans="1:4" x14ac:dyDescent="0.2">
      <c r="A50" t="s">
        <v>38</v>
      </c>
      <c r="B50" t="s">
        <v>10</v>
      </c>
      <c r="C50">
        <v>-0.26</v>
      </c>
      <c r="D50" t="s">
        <v>79</v>
      </c>
    </row>
    <row r="51" spans="1:4" x14ac:dyDescent="0.2">
      <c r="A51" t="s">
        <v>39</v>
      </c>
      <c r="B51" t="s">
        <v>10</v>
      </c>
      <c r="C51">
        <v>-1.52</v>
      </c>
      <c r="D51" t="s">
        <v>79</v>
      </c>
    </row>
    <row r="52" spans="1:4" x14ac:dyDescent="0.2">
      <c r="A52" t="s">
        <v>39</v>
      </c>
      <c r="B52" t="s">
        <v>13</v>
      </c>
      <c r="C52">
        <v>-1.19</v>
      </c>
      <c r="D52" t="s">
        <v>76</v>
      </c>
    </row>
    <row r="53" spans="1:4" x14ac:dyDescent="0.2">
      <c r="A53" t="s">
        <v>39</v>
      </c>
      <c r="B53" t="s">
        <v>11</v>
      </c>
      <c r="C53">
        <v>-1.3</v>
      </c>
      <c r="D53" t="s">
        <v>79</v>
      </c>
    </row>
    <row r="54" spans="1:4" x14ac:dyDescent="0.2">
      <c r="A54" t="s">
        <v>40</v>
      </c>
      <c r="B54" t="s">
        <v>11</v>
      </c>
      <c r="C54">
        <v>-1.3</v>
      </c>
      <c r="D54" t="s">
        <v>79</v>
      </c>
    </row>
    <row r="55" spans="1:4" x14ac:dyDescent="0.2">
      <c r="A55" t="s">
        <v>40</v>
      </c>
      <c r="B55" t="s">
        <v>10</v>
      </c>
      <c r="C55">
        <v>-0.84</v>
      </c>
      <c r="D55" t="s">
        <v>79</v>
      </c>
    </row>
    <row r="56" spans="1:4" x14ac:dyDescent="0.2">
      <c r="A56" t="s">
        <v>40</v>
      </c>
      <c r="B56" t="s">
        <v>12</v>
      </c>
      <c r="C56">
        <v>-2.2999999999999998</v>
      </c>
      <c r="D56" t="s">
        <v>78</v>
      </c>
    </row>
    <row r="57" spans="1:4" x14ac:dyDescent="0.2">
      <c r="A57" t="s">
        <v>40</v>
      </c>
      <c r="B57" t="s">
        <v>41</v>
      </c>
      <c r="C57">
        <v>-11.4</v>
      </c>
      <c r="D57" t="s">
        <v>86</v>
      </c>
    </row>
    <row r="58" spans="1:4" x14ac:dyDescent="0.2">
      <c r="A58" t="s">
        <v>40</v>
      </c>
      <c r="B58" t="s">
        <v>10</v>
      </c>
      <c r="C58">
        <v>-1.05</v>
      </c>
      <c r="D58" t="s">
        <v>79</v>
      </c>
    </row>
    <row r="59" spans="1:4" x14ac:dyDescent="0.2">
      <c r="A59" t="s">
        <v>42</v>
      </c>
      <c r="B59" t="s">
        <v>10</v>
      </c>
      <c r="C59">
        <v>-1.55</v>
      </c>
      <c r="D59" t="s">
        <v>79</v>
      </c>
    </row>
    <row r="60" spans="1:4" x14ac:dyDescent="0.2">
      <c r="A60" t="s">
        <v>42</v>
      </c>
      <c r="B60" t="s">
        <v>43</v>
      </c>
      <c r="C60">
        <v>-1</v>
      </c>
      <c r="D60" t="s">
        <v>86</v>
      </c>
    </row>
    <row r="61" spans="1:4" x14ac:dyDescent="0.2">
      <c r="A61" t="s">
        <v>42</v>
      </c>
      <c r="B61" t="s">
        <v>10</v>
      </c>
      <c r="C61">
        <v>-2.23</v>
      </c>
      <c r="D61" t="s">
        <v>79</v>
      </c>
    </row>
    <row r="62" spans="1:4" x14ac:dyDescent="0.2">
      <c r="A62" t="s">
        <v>44</v>
      </c>
      <c r="B62" t="s">
        <v>11</v>
      </c>
      <c r="C62">
        <v>-1.9</v>
      </c>
      <c r="D62" t="s">
        <v>79</v>
      </c>
    </row>
    <row r="63" spans="1:4" x14ac:dyDescent="0.2">
      <c r="A63" t="s">
        <v>44</v>
      </c>
      <c r="B63" t="s">
        <v>45</v>
      </c>
      <c r="C63">
        <v>-1.65</v>
      </c>
      <c r="D63" t="s">
        <v>76</v>
      </c>
    </row>
    <row r="64" spans="1:4" x14ac:dyDescent="0.2">
      <c r="A64" t="s">
        <v>44</v>
      </c>
      <c r="B64" t="s">
        <v>12</v>
      </c>
      <c r="C64">
        <v>-2.2999999999999998</v>
      </c>
      <c r="D64" t="s">
        <v>78</v>
      </c>
    </row>
    <row r="65" spans="1:4" x14ac:dyDescent="0.2">
      <c r="A65" t="s">
        <v>44</v>
      </c>
      <c r="B65" t="s">
        <v>10</v>
      </c>
      <c r="C65">
        <v>-2.17</v>
      </c>
      <c r="D65" t="s">
        <v>79</v>
      </c>
    </row>
    <row r="66" spans="1:4" x14ac:dyDescent="0.2">
      <c r="A66" t="s">
        <v>44</v>
      </c>
      <c r="B66" t="s">
        <v>10</v>
      </c>
      <c r="C66">
        <v>-1.54</v>
      </c>
      <c r="D66" t="s">
        <v>79</v>
      </c>
    </row>
    <row r="67" spans="1:4" x14ac:dyDescent="0.2">
      <c r="A67" t="s">
        <v>46</v>
      </c>
      <c r="B67" t="s">
        <v>47</v>
      </c>
      <c r="C67">
        <v>-3.09</v>
      </c>
      <c r="D67" t="s">
        <v>86</v>
      </c>
    </row>
    <row r="68" spans="1:4" x14ac:dyDescent="0.2">
      <c r="A68" t="s">
        <v>46</v>
      </c>
      <c r="B68" t="s">
        <v>11</v>
      </c>
      <c r="C68">
        <v>-1.3</v>
      </c>
      <c r="D68" t="s">
        <v>79</v>
      </c>
    </row>
    <row r="69" spans="1:4" x14ac:dyDescent="0.2">
      <c r="A69" t="s">
        <v>46</v>
      </c>
      <c r="B69" t="s">
        <v>10</v>
      </c>
      <c r="C69">
        <v>-1.53</v>
      </c>
      <c r="D69" t="s">
        <v>79</v>
      </c>
    </row>
    <row r="70" spans="1:4" x14ac:dyDescent="0.2">
      <c r="A70" t="s">
        <v>46</v>
      </c>
      <c r="B70" t="s">
        <v>45</v>
      </c>
      <c r="C70">
        <v>-7.43</v>
      </c>
      <c r="D70" t="s">
        <v>76</v>
      </c>
    </row>
    <row r="71" spans="1:4" x14ac:dyDescent="0.2">
      <c r="A71" t="s">
        <v>48</v>
      </c>
      <c r="B71" t="s">
        <v>11</v>
      </c>
      <c r="C71">
        <v>-3.2</v>
      </c>
      <c r="D71" t="s">
        <v>79</v>
      </c>
    </row>
    <row r="72" spans="1:4" x14ac:dyDescent="0.2">
      <c r="A72" t="s">
        <v>48</v>
      </c>
      <c r="B72" t="s">
        <v>13</v>
      </c>
      <c r="C72">
        <v>-5.81</v>
      </c>
      <c r="D72" t="s">
        <v>76</v>
      </c>
    </row>
    <row r="73" spans="1:4" x14ac:dyDescent="0.2">
      <c r="A73" t="s">
        <v>49</v>
      </c>
      <c r="B73" t="s">
        <v>10</v>
      </c>
      <c r="C73">
        <v>-1.52</v>
      </c>
      <c r="D73" t="s">
        <v>79</v>
      </c>
    </row>
    <row r="74" spans="1:4" x14ac:dyDescent="0.2">
      <c r="A74" t="s">
        <v>49</v>
      </c>
      <c r="B74" t="s">
        <v>43</v>
      </c>
      <c r="C74">
        <v>-2</v>
      </c>
      <c r="D74" t="s">
        <v>86</v>
      </c>
    </row>
    <row r="75" spans="1:4" x14ac:dyDescent="0.2">
      <c r="A75" t="s">
        <v>49</v>
      </c>
      <c r="B75" t="s">
        <v>10</v>
      </c>
      <c r="C75">
        <v>-2.73</v>
      </c>
      <c r="D75" t="s">
        <v>79</v>
      </c>
    </row>
    <row r="76" spans="1:4" x14ac:dyDescent="0.2">
      <c r="A76" t="s">
        <v>50</v>
      </c>
      <c r="B76" t="s">
        <v>10</v>
      </c>
      <c r="C76">
        <v>-1.05</v>
      </c>
      <c r="D76" t="s">
        <v>79</v>
      </c>
    </row>
    <row r="77" spans="1:4" x14ac:dyDescent="0.2">
      <c r="A77" t="s">
        <v>50</v>
      </c>
      <c r="B77" t="s">
        <v>10</v>
      </c>
      <c r="C77">
        <v>-1.0900000000000001</v>
      </c>
      <c r="D77" t="s">
        <v>79</v>
      </c>
    </row>
    <row r="78" spans="1:4" x14ac:dyDescent="0.2">
      <c r="A78" t="s">
        <v>51</v>
      </c>
      <c r="B78" t="s">
        <v>10</v>
      </c>
      <c r="C78">
        <v>-1.71</v>
      </c>
      <c r="D78" t="s">
        <v>79</v>
      </c>
    </row>
    <row r="79" spans="1:4" x14ac:dyDescent="0.2">
      <c r="A79" t="s">
        <v>51</v>
      </c>
      <c r="B79" t="s">
        <v>52</v>
      </c>
      <c r="C79">
        <v>-0.99</v>
      </c>
      <c r="D79" t="s">
        <v>79</v>
      </c>
    </row>
    <row r="80" spans="1:4" x14ac:dyDescent="0.2">
      <c r="A80" t="s">
        <v>53</v>
      </c>
      <c r="B80" t="s">
        <v>10</v>
      </c>
      <c r="C80">
        <v>-1</v>
      </c>
      <c r="D80" t="s">
        <v>79</v>
      </c>
    </row>
    <row r="81" spans="1:4" x14ac:dyDescent="0.2">
      <c r="A81" t="s">
        <v>53</v>
      </c>
      <c r="B81" t="s">
        <v>10</v>
      </c>
      <c r="C81">
        <v>-2.64</v>
      </c>
      <c r="D81" t="s">
        <v>79</v>
      </c>
    </row>
    <row r="82" spans="1:4" x14ac:dyDescent="0.2">
      <c r="A82" t="s">
        <v>53</v>
      </c>
      <c r="B82" t="s">
        <v>10</v>
      </c>
      <c r="C82">
        <v>-0.88</v>
      </c>
      <c r="D82" t="s">
        <v>79</v>
      </c>
    </row>
    <row r="83" spans="1:4" x14ac:dyDescent="0.2">
      <c r="A83" t="s">
        <v>53</v>
      </c>
      <c r="B83" t="s">
        <v>54</v>
      </c>
      <c r="C83">
        <v>-1.85</v>
      </c>
      <c r="D83" t="s">
        <v>79</v>
      </c>
    </row>
    <row r="84" spans="1:4" x14ac:dyDescent="0.2">
      <c r="A84" t="s">
        <v>55</v>
      </c>
      <c r="B84" t="s">
        <v>10</v>
      </c>
      <c r="C84">
        <v>-1.7</v>
      </c>
      <c r="D84" t="s">
        <v>79</v>
      </c>
    </row>
    <row r="85" spans="1:4" x14ac:dyDescent="0.2">
      <c r="A85" t="s">
        <v>56</v>
      </c>
      <c r="B85" t="s">
        <v>57</v>
      </c>
      <c r="C85">
        <v>-2.9</v>
      </c>
      <c r="D85" t="s">
        <v>86</v>
      </c>
    </row>
    <row r="86" spans="1:4" x14ac:dyDescent="0.2">
      <c r="A86" t="s">
        <v>58</v>
      </c>
      <c r="B86" t="s">
        <v>13</v>
      </c>
      <c r="C86">
        <v>-1.4</v>
      </c>
      <c r="D86" t="s">
        <v>76</v>
      </c>
    </row>
    <row r="87" spans="1:4" x14ac:dyDescent="0.2">
      <c r="A87" t="s">
        <v>58</v>
      </c>
      <c r="B87" t="s">
        <v>59</v>
      </c>
      <c r="C87">
        <v>-2.2599999999999998</v>
      </c>
      <c r="D87" t="s">
        <v>86</v>
      </c>
    </row>
    <row r="88" spans="1:4" x14ac:dyDescent="0.2">
      <c r="A88" t="s">
        <v>60</v>
      </c>
      <c r="B88" t="s">
        <v>10</v>
      </c>
      <c r="C88">
        <v>-1.22</v>
      </c>
      <c r="D88" t="s">
        <v>79</v>
      </c>
    </row>
    <row r="89" spans="1:4" x14ac:dyDescent="0.2">
      <c r="A89" t="s">
        <v>60</v>
      </c>
      <c r="B89" t="s">
        <v>11</v>
      </c>
      <c r="C89">
        <v>-2.5</v>
      </c>
      <c r="D89" t="s">
        <v>79</v>
      </c>
    </row>
    <row r="90" spans="1:4" x14ac:dyDescent="0.2">
      <c r="A90" t="s">
        <v>60</v>
      </c>
      <c r="B90" t="s">
        <v>57</v>
      </c>
      <c r="C90">
        <v>-30.02</v>
      </c>
      <c r="D90" t="s">
        <v>77</v>
      </c>
    </row>
    <row r="91" spans="1:4" x14ac:dyDescent="0.2">
      <c r="A91" t="s">
        <v>60</v>
      </c>
      <c r="B91" t="s">
        <v>12</v>
      </c>
      <c r="C91">
        <v>-2.2999999999999998</v>
      </c>
      <c r="D91" t="s">
        <v>79</v>
      </c>
    </row>
    <row r="92" spans="1:4" x14ac:dyDescent="0.2">
      <c r="A92" t="s">
        <v>61</v>
      </c>
      <c r="B92" t="s">
        <v>10</v>
      </c>
      <c r="C92">
        <v>-1.39</v>
      </c>
      <c r="D92" t="s">
        <v>79</v>
      </c>
    </row>
    <row r="93" spans="1:4" x14ac:dyDescent="0.2">
      <c r="A93" t="s">
        <v>61</v>
      </c>
      <c r="B93" t="s">
        <v>62</v>
      </c>
      <c r="C93">
        <v>-1.55</v>
      </c>
      <c r="D93" t="s">
        <v>86</v>
      </c>
    </row>
    <row r="94" spans="1:4" x14ac:dyDescent="0.2">
      <c r="A94" t="s">
        <v>61</v>
      </c>
      <c r="B94" t="s">
        <v>10</v>
      </c>
      <c r="C94">
        <v>-0.79</v>
      </c>
      <c r="D94" t="s">
        <v>79</v>
      </c>
    </row>
    <row r="95" spans="1:4" x14ac:dyDescent="0.2">
      <c r="A95" t="s">
        <v>61</v>
      </c>
      <c r="B95" t="s">
        <v>10</v>
      </c>
      <c r="C95">
        <v>-0.73</v>
      </c>
      <c r="D95" t="s">
        <v>79</v>
      </c>
    </row>
    <row r="96" spans="1:4" x14ac:dyDescent="0.2">
      <c r="A96" t="s">
        <v>61</v>
      </c>
      <c r="B96" t="s">
        <v>10</v>
      </c>
      <c r="C96">
        <v>-0.5</v>
      </c>
      <c r="D96" t="s">
        <v>79</v>
      </c>
    </row>
    <row r="97" spans="1:4" x14ac:dyDescent="0.2">
      <c r="A97" t="s">
        <v>61</v>
      </c>
      <c r="B97" t="s">
        <v>13</v>
      </c>
      <c r="C97">
        <v>-1.98</v>
      </c>
      <c r="D97" t="s">
        <v>76</v>
      </c>
    </row>
    <row r="98" spans="1:4" x14ac:dyDescent="0.2">
      <c r="A98" t="s">
        <v>63</v>
      </c>
      <c r="B98" t="s">
        <v>29</v>
      </c>
      <c r="C98">
        <v>20</v>
      </c>
      <c r="D98" t="s">
        <v>88</v>
      </c>
    </row>
    <row r="99" spans="1:4" x14ac:dyDescent="0.2">
      <c r="A99" t="s">
        <v>63</v>
      </c>
      <c r="B99" t="s">
        <v>9</v>
      </c>
      <c r="C99">
        <v>-0.8</v>
      </c>
      <c r="D99" t="s">
        <v>77</v>
      </c>
    </row>
    <row r="100" spans="1:4" x14ac:dyDescent="0.2">
      <c r="A100" t="s">
        <v>63</v>
      </c>
      <c r="B100" t="s">
        <v>64</v>
      </c>
      <c r="C100">
        <v>-4.5999999999999996</v>
      </c>
      <c r="D100" t="s">
        <v>79</v>
      </c>
    </row>
    <row r="101" spans="1:4" x14ac:dyDescent="0.2">
      <c r="A101" t="s">
        <v>63</v>
      </c>
      <c r="B101" t="s">
        <v>10</v>
      </c>
      <c r="C101">
        <v>-1.43</v>
      </c>
      <c r="D101" t="s">
        <v>79</v>
      </c>
    </row>
    <row r="102" spans="1:4" x14ac:dyDescent="0.2">
      <c r="A102" t="s">
        <v>63</v>
      </c>
      <c r="B102" t="s">
        <v>52</v>
      </c>
      <c r="C102">
        <v>-1.82</v>
      </c>
      <c r="D102" t="s">
        <v>79</v>
      </c>
    </row>
    <row r="103" spans="1:4" x14ac:dyDescent="0.2">
      <c r="A103" t="s">
        <v>63</v>
      </c>
      <c r="B103" t="s">
        <v>65</v>
      </c>
      <c r="C103">
        <v>-20.03</v>
      </c>
      <c r="D103" t="s">
        <v>77</v>
      </c>
    </row>
    <row r="104" spans="1:4" x14ac:dyDescent="0.2">
      <c r="A104" t="s">
        <v>66</v>
      </c>
      <c r="B104" t="s">
        <v>14</v>
      </c>
      <c r="C104">
        <v>-17.53</v>
      </c>
      <c r="D104" t="s">
        <v>77</v>
      </c>
    </row>
    <row r="105" spans="1:4" x14ac:dyDescent="0.2">
      <c r="A105" t="s">
        <v>66</v>
      </c>
      <c r="B105" t="s">
        <v>12</v>
      </c>
      <c r="C105">
        <v>-2.2999999999999998</v>
      </c>
      <c r="D105" t="s">
        <v>79</v>
      </c>
    </row>
    <row r="106" spans="1:4" x14ac:dyDescent="0.2">
      <c r="A106" t="s">
        <v>66</v>
      </c>
      <c r="B106" t="s">
        <v>16</v>
      </c>
      <c r="C106">
        <v>-3</v>
      </c>
      <c r="D106" t="s">
        <v>86</v>
      </c>
    </row>
    <row r="107" spans="1:4" x14ac:dyDescent="0.2">
      <c r="A107" s="2">
        <v>45934</v>
      </c>
      <c r="B107" t="s">
        <v>90</v>
      </c>
      <c r="C107">
        <v>-13</v>
      </c>
      <c r="D107" t="s">
        <v>86</v>
      </c>
    </row>
    <row r="108" spans="1:4" x14ac:dyDescent="0.2">
      <c r="A108" s="2">
        <v>45938</v>
      </c>
      <c r="B108" t="s">
        <v>91</v>
      </c>
      <c r="C108">
        <v>-3</v>
      </c>
      <c r="D108" t="s">
        <v>78</v>
      </c>
    </row>
    <row r="109" spans="1:4" x14ac:dyDescent="0.2">
      <c r="A109" s="2">
        <v>45939</v>
      </c>
      <c r="B109" t="s">
        <v>91</v>
      </c>
      <c r="C109">
        <v>-3</v>
      </c>
      <c r="D109" t="s">
        <v>78</v>
      </c>
    </row>
    <row r="110" spans="1:4" x14ac:dyDescent="0.2">
      <c r="A110" s="2">
        <v>45944</v>
      </c>
      <c r="B110" t="s">
        <v>91</v>
      </c>
      <c r="C110">
        <v>-3</v>
      </c>
      <c r="D110" t="s">
        <v>78</v>
      </c>
    </row>
    <row r="111" spans="1:4" x14ac:dyDescent="0.2">
      <c r="A111" s="2">
        <v>45950</v>
      </c>
      <c r="B111" t="s">
        <v>91</v>
      </c>
      <c r="C111">
        <v>-3</v>
      </c>
      <c r="D111" t="s">
        <v>78</v>
      </c>
    </row>
    <row r="112" spans="1:4" x14ac:dyDescent="0.2">
      <c r="A112" s="2">
        <v>45952</v>
      </c>
      <c r="B112" t="s">
        <v>91</v>
      </c>
      <c r="C112">
        <v>-3</v>
      </c>
      <c r="D112" t="s">
        <v>78</v>
      </c>
    </row>
    <row r="113" spans="1:4" x14ac:dyDescent="0.2">
      <c r="A113" s="2">
        <v>45953</v>
      </c>
      <c r="B113" t="s">
        <v>91</v>
      </c>
      <c r="C113">
        <v>-3</v>
      </c>
      <c r="D113" t="s">
        <v>78</v>
      </c>
    </row>
    <row r="114" spans="1:4" x14ac:dyDescent="0.2">
      <c r="A114" s="2">
        <v>45954</v>
      </c>
      <c r="B114" t="s">
        <v>91</v>
      </c>
      <c r="C114">
        <v>-3</v>
      </c>
      <c r="D114" t="s">
        <v>78</v>
      </c>
    </row>
    <row r="115" spans="1:4" x14ac:dyDescent="0.2">
      <c r="A115" s="2">
        <v>45958</v>
      </c>
      <c r="B115" t="s">
        <v>91</v>
      </c>
      <c r="C115">
        <v>-3</v>
      </c>
      <c r="D115" t="s">
        <v>78</v>
      </c>
    </row>
    <row r="116" spans="1:4" x14ac:dyDescent="0.2">
      <c r="B116" t="s">
        <v>92</v>
      </c>
      <c r="C116">
        <v>-293</v>
      </c>
      <c r="D116" t="s">
        <v>87</v>
      </c>
    </row>
    <row r="117" spans="1:4" x14ac:dyDescent="0.2">
      <c r="B117" t="s">
        <v>92</v>
      </c>
      <c r="C117">
        <v>100</v>
      </c>
      <c r="D117" s="1" t="s">
        <v>88</v>
      </c>
    </row>
    <row r="118" spans="1:4" x14ac:dyDescent="0.2">
      <c r="A118" s="2"/>
      <c r="C118">
        <f>SUM(Table1[amount])</f>
        <v>-902.37999999999931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11574-43BB-0641-88FE-E66D765C3B4C}">
  <dimension ref="A1:D29"/>
  <sheetViews>
    <sheetView tabSelected="1" zoomScale="196" workbookViewId="0">
      <selection activeCell="I18" sqref="I18"/>
    </sheetView>
  </sheetViews>
  <sheetFormatPr baseColWidth="10" defaultRowHeight="15" x14ac:dyDescent="0.2"/>
  <cols>
    <col min="2" max="2" width="26" bestFit="1" customWidth="1"/>
    <col min="3" max="3" width="34.6640625" bestFit="1" customWidth="1"/>
    <col min="4" max="4" width="17.1640625" bestFit="1" customWidth="1"/>
  </cols>
  <sheetData>
    <row r="1" spans="1:4" ht="16" x14ac:dyDescent="0.2">
      <c r="A1" s="7"/>
      <c r="B1" s="8" t="s">
        <v>67</v>
      </c>
      <c r="C1" s="9">
        <v>610</v>
      </c>
      <c r="D1" s="7"/>
    </row>
    <row r="2" spans="1:4" ht="16" x14ac:dyDescent="0.2">
      <c r="A2" s="7"/>
      <c r="B2" s="10" t="s">
        <v>68</v>
      </c>
      <c r="C2" s="11">
        <v>140</v>
      </c>
      <c r="D2" s="7"/>
    </row>
    <row r="3" spans="1:4" ht="16" x14ac:dyDescent="0.2">
      <c r="A3" s="7"/>
      <c r="B3" s="10" t="s">
        <v>69</v>
      </c>
      <c r="C3" s="11">
        <v>290</v>
      </c>
      <c r="D3" s="7"/>
    </row>
    <row r="4" spans="1:4" ht="16" x14ac:dyDescent="0.2">
      <c r="A4" s="7"/>
      <c r="B4" s="10" t="s">
        <v>70</v>
      </c>
      <c r="C4" s="12">
        <v>13</v>
      </c>
      <c r="D4" s="7"/>
    </row>
    <row r="5" spans="1:4" ht="16" x14ac:dyDescent="0.2">
      <c r="A5" s="7"/>
      <c r="B5" s="10"/>
      <c r="C5" s="13"/>
      <c r="D5" s="7"/>
    </row>
    <row r="6" spans="1:4" ht="16" x14ac:dyDescent="0.2">
      <c r="A6" s="7"/>
      <c r="B6" s="10" t="s">
        <v>71</v>
      </c>
      <c r="C6" s="11">
        <v>445</v>
      </c>
      <c r="D6" s="7"/>
    </row>
    <row r="7" spans="1:4" ht="16" x14ac:dyDescent="0.2">
      <c r="A7" s="7"/>
      <c r="B7" s="10" t="s">
        <v>72</v>
      </c>
      <c r="C7" s="14">
        <v>1008</v>
      </c>
      <c r="D7" s="7"/>
    </row>
    <row r="8" spans="1:4" ht="16" x14ac:dyDescent="0.2">
      <c r="A8" s="7"/>
      <c r="B8" s="10" t="s">
        <v>73</v>
      </c>
      <c r="C8" s="11">
        <v>400</v>
      </c>
      <c r="D8" s="7"/>
    </row>
    <row r="9" spans="1:4" ht="16" x14ac:dyDescent="0.2">
      <c r="A9" s="7"/>
      <c r="B9" s="10" t="s">
        <v>74</v>
      </c>
      <c r="C9" s="11">
        <v>800</v>
      </c>
      <c r="D9" s="7" t="s">
        <v>89</v>
      </c>
    </row>
    <row r="10" spans="1:4" x14ac:dyDescent="0.2">
      <c r="A10" s="7"/>
      <c r="B10" s="15"/>
      <c r="C10" s="15"/>
      <c r="D10" s="7"/>
    </row>
    <row r="11" spans="1:4" x14ac:dyDescent="0.2">
      <c r="A11" s="7"/>
      <c r="B11" s="15"/>
      <c r="C11" s="15"/>
      <c r="D11" s="7"/>
    </row>
    <row r="12" spans="1:4" ht="20" x14ac:dyDescent="0.25">
      <c r="A12" s="7"/>
      <c r="B12" s="3" t="s">
        <v>75</v>
      </c>
      <c r="C12" s="3"/>
      <c r="D12" s="7"/>
    </row>
    <row r="13" spans="1:4" ht="16" x14ac:dyDescent="0.2">
      <c r="A13" s="7"/>
      <c r="B13" s="10" t="s">
        <v>76</v>
      </c>
      <c r="C13" s="13">
        <f>SUMIF(Table1[category],Stats!B13,Table1[amount])</f>
        <v>-24.099999999999998</v>
      </c>
      <c r="D13" s="7"/>
    </row>
    <row r="14" spans="1:4" ht="16" x14ac:dyDescent="0.2">
      <c r="A14" s="7"/>
      <c r="B14" s="10" t="s">
        <v>77</v>
      </c>
      <c r="C14" s="13">
        <f>SUMIF(Table1[category],Stats!B14,Table1[amount])</f>
        <v>-89.18</v>
      </c>
      <c r="D14" s="7"/>
    </row>
    <row r="15" spans="1:4" ht="16" x14ac:dyDescent="0.2">
      <c r="A15" s="7"/>
      <c r="B15" s="10" t="s">
        <v>78</v>
      </c>
      <c r="C15" s="13">
        <f>SUMIF(Table1[category],Stats!B15,Table1[amount])</f>
        <v>-44.35</v>
      </c>
      <c r="D15" s="7"/>
    </row>
    <row r="16" spans="1:4" ht="16" x14ac:dyDescent="0.2">
      <c r="A16" s="7"/>
      <c r="B16" s="10" t="s">
        <v>79</v>
      </c>
      <c r="C16" s="13">
        <f>SUMIF(Table1[category],Stats!B16,Table1[amount])</f>
        <v>-112.47</v>
      </c>
      <c r="D16" s="7"/>
    </row>
    <row r="17" spans="1:4" ht="16" x14ac:dyDescent="0.2">
      <c r="A17" s="7"/>
      <c r="B17" s="10" t="s">
        <v>80</v>
      </c>
      <c r="C17" s="13">
        <f>SUMIF(Table1[category],Stats!B17,Table1[amount])</f>
        <v>0</v>
      </c>
      <c r="D17" s="7"/>
    </row>
    <row r="18" spans="1:4" ht="16" x14ac:dyDescent="0.2">
      <c r="A18" s="7"/>
      <c r="B18" s="10" t="s">
        <v>81</v>
      </c>
      <c r="C18" s="13">
        <f>SUMIF(Table1[category],Stats!B18,Table1[amount])</f>
        <v>0</v>
      </c>
      <c r="D18" s="7"/>
    </row>
    <row r="19" spans="1:4" ht="16" x14ac:dyDescent="0.2">
      <c r="A19" s="7"/>
      <c r="B19" s="10" t="s">
        <v>82</v>
      </c>
      <c r="C19" s="13">
        <f>SUMIF(Table1[category],Stats!B19,Table1[amount])</f>
        <v>0</v>
      </c>
      <c r="D19" s="7"/>
    </row>
    <row r="20" spans="1:4" ht="16" x14ac:dyDescent="0.2">
      <c r="A20" s="7"/>
      <c r="B20" s="10" t="s">
        <v>83</v>
      </c>
      <c r="C20" s="13">
        <f>SUMIF(Table1[category],Stats!B20,Table1[amount])</f>
        <v>-36.090000000000003</v>
      </c>
      <c r="D20" s="7"/>
    </row>
    <row r="21" spans="1:4" ht="16" x14ac:dyDescent="0.2">
      <c r="A21" s="7"/>
      <c r="B21" s="10" t="s">
        <v>84</v>
      </c>
      <c r="C21" s="13">
        <f>SUMIF(Table1[category],Stats!B21,Table1[amount])</f>
        <v>0</v>
      </c>
      <c r="D21" s="7"/>
    </row>
    <row r="22" spans="1:4" ht="16" x14ac:dyDescent="0.2">
      <c r="A22" s="7"/>
      <c r="B22" s="10" t="s">
        <v>85</v>
      </c>
      <c r="C22" s="13">
        <f>SUMIF(Table1[category],Stats!B22,Table1[amount])</f>
        <v>0</v>
      </c>
      <c r="D22" s="7"/>
    </row>
    <row r="23" spans="1:4" ht="16" x14ac:dyDescent="0.2">
      <c r="A23" s="7"/>
      <c r="B23" s="10" t="s">
        <v>86</v>
      </c>
      <c r="C23" s="13">
        <f>SUMIF(Table1[category],Stats!B23,Table1[amount])</f>
        <v>-393.18999999999994</v>
      </c>
      <c r="D23" s="7"/>
    </row>
    <row r="24" spans="1:4" ht="16" x14ac:dyDescent="0.2">
      <c r="A24" s="7"/>
      <c r="B24" s="10" t="s">
        <v>87</v>
      </c>
      <c r="C24" s="13">
        <f>SUMIF(Table1[category],Stats!B24,Table1[amount])</f>
        <v>-343</v>
      </c>
      <c r="D24" s="7"/>
    </row>
    <row r="25" spans="1:4" ht="16" x14ac:dyDescent="0.2">
      <c r="A25" s="7"/>
      <c r="B25" s="4"/>
      <c r="C25" s="5"/>
      <c r="D25" s="7"/>
    </row>
    <row r="26" spans="1:4" ht="16" x14ac:dyDescent="0.2">
      <c r="A26" s="7"/>
      <c r="B26" s="10" t="s">
        <v>88</v>
      </c>
      <c r="C26" s="13">
        <f>SUMIF(Table1[category],Stats!B26,Table1[amount])</f>
        <v>140</v>
      </c>
      <c r="D26" s="7"/>
    </row>
    <row r="27" spans="1:4" x14ac:dyDescent="0.2">
      <c r="A27" s="7"/>
      <c r="B27" s="15"/>
      <c r="C27" s="16">
        <f>SUM(C13:C24)+C26</f>
        <v>-902.38000000000011</v>
      </c>
      <c r="D27" s="7"/>
    </row>
    <row r="28" spans="1:4" x14ac:dyDescent="0.2">
      <c r="A28" s="7"/>
      <c r="B28" s="7"/>
      <c r="C28" s="7"/>
      <c r="D28" s="7"/>
    </row>
    <row r="29" spans="1:4" x14ac:dyDescent="0.2">
      <c r="A29" s="7"/>
      <c r="B29" s="7"/>
      <c r="C29" s="7"/>
      <c r="D29" s="7"/>
    </row>
  </sheetData>
  <mergeCells count="2">
    <mergeCell ref="B12:C12"/>
    <mergeCell ref="B25:C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Transactions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Dmytro Semeniuk</cp:lastModifiedBy>
  <dcterms:created xsi:type="dcterms:W3CDTF">2025-11-03T11:50:22Z</dcterms:created>
  <dcterms:modified xsi:type="dcterms:W3CDTF">2025-11-04T11:10:01Z</dcterms:modified>
</cp:coreProperties>
</file>