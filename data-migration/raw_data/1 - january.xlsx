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t/Documents/personal/Finances/2025/statements/january/filtered/"/>
    </mc:Choice>
  </mc:AlternateContent>
  <xr:revisionPtr revIDLastSave="0" documentId="13_ncr:1_{9B9D9A14-D630-334A-8F42-460EC8156A97}" xr6:coauthVersionLast="47" xr6:coauthVersionMax="47" xr10:uidLastSave="{00000000-0000-0000-0000-000000000000}"/>
  <bookViews>
    <workbookView xWindow="0" yWindow="700" windowWidth="27040" windowHeight="15120" xr2:uid="{A4DA4CB0-A381-E54B-8C32-31A5D4D85E96}"/>
  </bookViews>
  <sheets>
    <sheet name="Month txs" sheetId="1" r:id="rId1"/>
    <sheet name="Cryp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D44" i="1"/>
  <c r="I27" i="1"/>
  <c r="I24" i="1"/>
  <c r="I23" i="1"/>
  <c r="I22" i="1"/>
  <c r="I21" i="1"/>
  <c r="I20" i="1"/>
  <c r="I19" i="1"/>
  <c r="I18" i="1"/>
  <c r="I17" i="1"/>
  <c r="I16" i="1"/>
  <c r="I15" i="1" l="1"/>
  <c r="I14" i="1"/>
  <c r="I25" i="1" l="1"/>
  <c r="I28" i="1" s="1"/>
</calcChain>
</file>

<file path=xl/sharedStrings.xml><?xml version="1.0" encoding="utf-8"?>
<sst xmlns="http://schemas.openxmlformats.org/spreadsheetml/2006/main" count="199" uniqueCount="77">
  <si>
    <t>DATE</t>
  </si>
  <si>
    <t>DESCRIPTION</t>
  </si>
  <si>
    <t>SUM</t>
  </si>
  <si>
    <t>CATEGORY</t>
  </si>
  <si>
    <t>NOTES</t>
  </si>
  <si>
    <t>REVOLUT</t>
  </si>
  <si>
    <t>PAYMENT METHOD</t>
  </si>
  <si>
    <t>CASH</t>
  </si>
  <si>
    <t>MONOBANK</t>
  </si>
  <si>
    <t>SUMMARY</t>
  </si>
  <si>
    <t>ERSTE</t>
  </si>
  <si>
    <t>CRYPTO INVESTMENTS</t>
  </si>
  <si>
    <t>EMERGENCY FUND</t>
  </si>
  <si>
    <t>MOVING OUT FUND</t>
  </si>
  <si>
    <t>SPENT BY CATEGORIES</t>
  </si>
  <si>
    <t>Groceries</t>
  </si>
  <si>
    <t>Transportation</t>
  </si>
  <si>
    <t>Dining &amp; Restoraunts</t>
  </si>
  <si>
    <t>Shopping</t>
  </si>
  <si>
    <t>Home</t>
  </si>
  <si>
    <t>Cash Withdrawals</t>
  </si>
  <si>
    <t>Entertainment &amp; Subscription</t>
  </si>
  <si>
    <t>Travelling</t>
  </si>
  <si>
    <t>Education &amp; Studying</t>
  </si>
  <si>
    <t>Investments</t>
  </si>
  <si>
    <t>Income</t>
  </si>
  <si>
    <t>Other</t>
  </si>
  <si>
    <t>TRX</t>
  </si>
  <si>
    <t>buy</t>
  </si>
  <si>
    <t>22/1</t>
  </si>
  <si>
    <t>31/01/2025</t>
  </si>
  <si>
    <t>erste</t>
  </si>
  <si>
    <t>Naplata naknade za vođenje računa</t>
  </si>
  <si>
    <t>29/01/2025</t>
  </si>
  <si>
    <t>462765XXXXXX9899, PBZTINA KOSTRENA</t>
  </si>
  <si>
    <t>UPLATA NA DEPOZITNOM BANKOMATU</t>
  </si>
  <si>
    <t>26/01/2025</t>
  </si>
  <si>
    <t>462765XXXXXX9899, PBZTINTERSPAR8729 KUKULJANOVO</t>
  </si>
  <si>
    <t>22/01/2025</t>
  </si>
  <si>
    <t>462765XXXXXX9899, PBZTMCDNSK KUKULJANOVO</t>
  </si>
  <si>
    <t>21/01/2025</t>
  </si>
  <si>
    <t>01/01/2025</t>
  </si>
  <si>
    <t>17/01/2025</t>
  </si>
  <si>
    <t>monobank</t>
  </si>
  <si>
    <t>CARRACA PUB</t>
  </si>
  <si>
    <t>Adobe</t>
  </si>
  <si>
    <t>RESTORAN KAMPUS</t>
  </si>
  <si>
    <t>PBZTMCDONALDS</t>
  </si>
  <si>
    <t>PBZTINTERSPAR8721</t>
  </si>
  <si>
    <t>GOOGLE *YouTubePremium</t>
  </si>
  <si>
    <t>10/01/2025</t>
  </si>
  <si>
    <t>09/01/2025</t>
  </si>
  <si>
    <t>08/01/2025</t>
  </si>
  <si>
    <t>07/01/2025</t>
  </si>
  <si>
    <t>revolut</t>
  </si>
  <si>
    <t>Apple</t>
  </si>
  <si>
    <t>Amazon</t>
  </si>
  <si>
    <t>Restoran Kampus</t>
  </si>
  <si>
    <t>13/01/2025</t>
  </si>
  <si>
    <t>Plodine</t>
  </si>
  <si>
    <t>14/01/2025</t>
  </si>
  <si>
    <t>Ac Pm Desinec Sjever</t>
  </si>
  <si>
    <t>15/01/2025</t>
  </si>
  <si>
    <t>16/01/2025</t>
  </si>
  <si>
    <t>Studenac</t>
  </si>
  <si>
    <t>20/01/2025</t>
  </si>
  <si>
    <t>KEKS Pay</t>
  </si>
  <si>
    <t>Exchanged to EUR</t>
  </si>
  <si>
    <t>Dante Bar</t>
  </si>
  <si>
    <t>23/01/2025</t>
  </si>
  <si>
    <t>Spar</t>
  </si>
  <si>
    <t>24/01/2025</t>
  </si>
  <si>
    <t>27/01/2025</t>
  </si>
  <si>
    <t>Gavranović</t>
  </si>
  <si>
    <t>Total spent</t>
  </si>
  <si>
    <t>21/1</t>
  </si>
  <si>
    <t>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</si>
</sst>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[$€-2]\ * #,##0.00_);_([$€-2]\ * \(#,##0.00\);_([$€-2]\ * &quot;-&quot;??_);_(@_)"/>
    <numFmt numFmtId="165" formatCode="_-* #,##0.00\ [$₴-422]_-;\-* #,##0.00\ [$₴-422]_-;_-* &quot;-&quot;??\ [$₴-422]_-;_-@_-"/>
    <numFmt numFmtId="166" formatCode="dd\.mm\.yyyy;@"/>
  </numFmts>
  <fonts count="12" x14ac:knownFonts="1">
    <font>
      <sz val="12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5"/>
      <color theme="0"/>
      <name val="Aptos Narrow"/>
      <scheme val="minor"/>
    </font>
    <font>
      <sz val="15"/>
      <color rgb="FFFFFFFF"/>
      <name val="Aptos Narrow"/>
      <scheme val="minor"/>
    </font>
    <font>
      <sz val="13"/>
      <color theme="0"/>
      <name val="Aptos Narrow"/>
      <scheme val="minor"/>
    </font>
    <font>
      <sz val="15"/>
      <color theme="0"/>
      <name val="Aptos Narrow (Body)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83CCEC"/>
        <bgColor indexed="64"/>
      </patternFill>
    </fill>
    <fill>
      <patternFill patternType="solid">
        <fgColor rgb="FF83CCEC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7" fillId="0" borderId="0" applyFont="0" applyFill="0" applyBorder="0" applyAlignment="0" applyProtection="0"/>
  </cellStyleXfs>
  <cellXfs count="39">
    <xf numFmtId="0" fontId="0" fillId="0" borderId="0" xfId="0"/>
    <xf numFmtId="2" fontId="0" fillId="0" borderId="0" xfId="0" applyNumberFormat="1"/>
    <xf numFmtId="0" fontId="2" fillId="3" borderId="2" xfId="1" applyFont="1" applyFill="1" applyBorder="1" applyAlignment="1">
      <alignment horizontal="center" vertical="center"/>
    </xf>
    <xf numFmtId="0" fontId="0" fillId="4" borderId="0" xfId="0" applyFill="1"/>
    <xf numFmtId="0" fontId="0" fillId="4" borderId="2" xfId="0" applyFill="1" applyBorder="1"/>
    <xf numFmtId="0" fontId="0" fillId="4" borderId="3" xfId="0" applyFill="1" applyBorder="1"/>
    <xf numFmtId="0" fontId="6" fillId="7" borderId="4" xfId="0" applyFont="1" applyFill="1" applyBorder="1"/>
    <xf numFmtId="0" fontId="6" fillId="7" borderId="7" xfId="0" applyFont="1" applyFill="1" applyBorder="1"/>
    <xf numFmtId="0" fontId="0" fillId="8" borderId="0" xfId="0" applyFill="1"/>
    <xf numFmtId="164" fontId="8" fillId="4" borderId="2" xfId="2" applyNumberFormat="1" applyFont="1" applyFill="1" applyBorder="1"/>
    <xf numFmtId="164" fontId="8" fillId="4" borderId="2" xfId="0" applyNumberFormat="1" applyFont="1" applyFill="1" applyBorder="1"/>
    <xf numFmtId="0" fontId="8" fillId="4" borderId="2" xfId="0" applyFont="1" applyFill="1" applyBorder="1"/>
    <xf numFmtId="165" fontId="8" fillId="4" borderId="2" xfId="2" applyNumberFormat="1" applyFont="1" applyFill="1" applyBorder="1"/>
    <xf numFmtId="44" fontId="8" fillId="4" borderId="2" xfId="2" applyFont="1" applyFill="1" applyBorder="1"/>
    <xf numFmtId="14" fontId="0" fillId="0" borderId="0" xfId="0" applyNumberFormat="1"/>
    <xf numFmtId="0" fontId="0" fillId="0" borderId="8" xfId="0" applyBorder="1"/>
    <xf numFmtId="0" fontId="0" fillId="0" borderId="9" xfId="0" applyBorder="1"/>
    <xf numFmtId="0" fontId="2" fillId="5" borderId="2" xfId="1" applyFont="1" applyFill="1" applyBorder="1" applyAlignment="1">
      <alignment horizontal="center" vertical="center"/>
    </xf>
    <xf numFmtId="0" fontId="0" fillId="0" borderId="7" xfId="0" applyBorder="1"/>
    <xf numFmtId="0" fontId="10" fillId="0" borderId="10" xfId="0" applyFont="1" applyBorder="1"/>
    <xf numFmtId="0" fontId="10" fillId="0" borderId="0" xfId="0" applyFont="1"/>
    <xf numFmtId="2" fontId="10" fillId="0" borderId="0" xfId="0" applyNumberFormat="1" applyFont="1" applyAlignment="1">
      <alignment horizontal="right"/>
    </xf>
    <xf numFmtId="14" fontId="10" fillId="0" borderId="10" xfId="0" applyNumberFormat="1" applyFont="1" applyBorder="1"/>
    <xf numFmtId="0" fontId="11" fillId="0" borderId="0" xfId="0" applyFont="1"/>
    <xf numFmtId="2" fontId="11" fillId="0" borderId="0" xfId="0" applyNumberFormat="1" applyFont="1" applyAlignment="1">
      <alignment horizontal="right"/>
    </xf>
    <xf numFmtId="14" fontId="11" fillId="0" borderId="10" xfId="0" applyNumberFormat="1" applyFont="1" applyBorder="1"/>
    <xf numFmtId="166" fontId="11" fillId="0" borderId="10" xfId="0" applyNumberFormat="1" applyFont="1" applyBorder="1"/>
    <xf numFmtId="0" fontId="11" fillId="0" borderId="10" xfId="0" applyFont="1" applyBorder="1"/>
    <xf numFmtId="0" fontId="11" fillId="0" borderId="11" xfId="0" applyFont="1" applyBorder="1"/>
    <xf numFmtId="0" fontId="11" fillId="0" borderId="12" xfId="0" applyFont="1" applyBorder="1"/>
    <xf numFmtId="2" fontId="11" fillId="0" borderId="0" xfId="0" applyNumberFormat="1" applyFont="1"/>
    <xf numFmtId="2" fontId="11" fillId="0" borderId="12" xfId="0" applyNumberFormat="1" applyFont="1" applyBorder="1"/>
    <xf numFmtId="0" fontId="9" fillId="4" borderId="3" xfId="0" applyFont="1" applyFill="1" applyBorder="1"/>
    <xf numFmtId="0" fontId="0" fillId="2" borderId="0" xfId="0" applyFill="1" applyAlignment="1">
      <alignment horizontal="center"/>
    </xf>
    <xf numFmtId="0" fontId="5" fillId="5" borderId="0" xfId="1" applyFont="1" applyFill="1" applyBorder="1" applyAlignment="1">
      <alignment horizontal="center"/>
    </xf>
    <xf numFmtId="0" fontId="4" fillId="5" borderId="0" xfId="1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</cellXfs>
  <cellStyles count="3">
    <cellStyle name="Currency" xfId="2" builtinId="4"/>
    <cellStyle name="Heading 2" xfId="1" builtinId="17"/>
    <cellStyle name="Normal" xfId="0" builtinId="0"/>
  </cellStyles>
  <dxfs count="0"/>
  <tableStyles count="0" defaultTableStyle="TableStyleMedium2" defaultPivotStyle="PivotStyleLight16"/>
  <colors>
    <mruColors>
      <color rgb="FF83C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70882-D44B-5648-9B60-83A711B7F793}">
  <dimension ref="A1:J45"/>
  <sheetViews>
    <sheetView tabSelected="1" topLeftCell="B1" zoomScale="75" workbookViewId="0">
      <selection activeCell="J14" sqref="J14"/>
    </sheetView>
  </sheetViews>
  <sheetFormatPr baseColWidth="10" defaultRowHeight="16" x14ac:dyDescent="0.2"/>
  <cols>
    <col min="1" max="1" width="10.5" bestFit="1" customWidth="1"/>
    <col min="2" max="2" width="20.83203125" bestFit="1" customWidth="1"/>
    <col min="3" max="3" width="35" customWidth="1"/>
    <col min="4" max="4" width="11.83203125" customWidth="1"/>
    <col min="5" max="5" width="24.33203125" bestFit="1" customWidth="1"/>
    <col min="6" max="6" width="40.33203125" customWidth="1"/>
    <col min="8" max="8" width="28.6640625" customWidth="1"/>
    <col min="9" max="9" width="14.33203125" customWidth="1"/>
  </cols>
  <sheetData>
    <row r="1" spans="1:10" ht="20" x14ac:dyDescent="0.25">
      <c r="A1" s="2" t="s">
        <v>0</v>
      </c>
      <c r="B1" s="2" t="s">
        <v>6</v>
      </c>
      <c r="C1" s="2" t="s">
        <v>1</v>
      </c>
      <c r="D1" s="2" t="s">
        <v>2</v>
      </c>
      <c r="E1" s="2" t="s">
        <v>3</v>
      </c>
      <c r="F1" s="17" t="s">
        <v>4</v>
      </c>
      <c r="G1" s="33"/>
      <c r="H1" s="34" t="s">
        <v>9</v>
      </c>
      <c r="I1" s="35"/>
    </row>
    <row r="2" spans="1:10" x14ac:dyDescent="0.2">
      <c r="A2" s="19" t="s">
        <v>30</v>
      </c>
      <c r="B2" s="20" t="s">
        <v>31</v>
      </c>
      <c r="C2" s="20" t="s">
        <v>32</v>
      </c>
      <c r="D2" s="21">
        <v>-3</v>
      </c>
      <c r="E2" s="20" t="s">
        <v>26</v>
      </c>
      <c r="F2" s="15"/>
      <c r="G2" s="33"/>
      <c r="H2" s="4" t="s">
        <v>7</v>
      </c>
      <c r="I2" s="9">
        <v>15</v>
      </c>
      <c r="J2">
        <v>15</v>
      </c>
    </row>
    <row r="3" spans="1:10" x14ac:dyDescent="0.2">
      <c r="A3" s="19" t="s">
        <v>33</v>
      </c>
      <c r="B3" s="20" t="s">
        <v>31</v>
      </c>
      <c r="C3" s="20" t="s">
        <v>34</v>
      </c>
      <c r="D3" s="21">
        <v>-10.01</v>
      </c>
      <c r="E3" s="20" t="s">
        <v>16</v>
      </c>
      <c r="F3" s="16"/>
      <c r="G3" s="33"/>
      <c r="H3" s="4" t="s">
        <v>10</v>
      </c>
      <c r="I3" s="10">
        <v>188</v>
      </c>
      <c r="J3">
        <v>188</v>
      </c>
    </row>
    <row r="4" spans="1:10" x14ac:dyDescent="0.2">
      <c r="A4" s="19" t="s">
        <v>33</v>
      </c>
      <c r="B4" s="20" t="s">
        <v>31</v>
      </c>
      <c r="C4" s="20" t="s">
        <v>35</v>
      </c>
      <c r="D4" s="21">
        <v>110</v>
      </c>
      <c r="E4" s="20" t="s">
        <v>25</v>
      </c>
      <c r="F4" s="16"/>
      <c r="G4" s="33"/>
      <c r="H4" s="4" t="s">
        <v>5</v>
      </c>
      <c r="I4" s="10">
        <v>14</v>
      </c>
      <c r="J4">
        <v>14</v>
      </c>
    </row>
    <row r="5" spans="1:10" x14ac:dyDescent="0.2">
      <c r="A5" s="19" t="s">
        <v>36</v>
      </c>
      <c r="B5" s="20" t="s">
        <v>31</v>
      </c>
      <c r="C5" s="20" t="s">
        <v>37</v>
      </c>
      <c r="D5" s="21">
        <v>-5.24</v>
      </c>
      <c r="E5" s="20" t="s">
        <v>15</v>
      </c>
      <c r="F5" s="16"/>
      <c r="G5" s="33"/>
      <c r="H5" s="4" t="s">
        <v>8</v>
      </c>
      <c r="I5" s="12">
        <v>-500</v>
      </c>
      <c r="J5">
        <v>-13</v>
      </c>
    </row>
    <row r="6" spans="1:10" x14ac:dyDescent="0.2">
      <c r="A6" s="19" t="s">
        <v>38</v>
      </c>
      <c r="B6" s="20" t="s">
        <v>31</v>
      </c>
      <c r="C6" s="20" t="s">
        <v>39</v>
      </c>
      <c r="D6" s="21">
        <v>-9.3000000000000007</v>
      </c>
      <c r="E6" s="20" t="s">
        <v>17</v>
      </c>
      <c r="F6" s="16"/>
      <c r="G6" s="33"/>
      <c r="H6" s="4"/>
      <c r="I6" s="11"/>
    </row>
    <row r="7" spans="1:10" x14ac:dyDescent="0.2">
      <c r="A7" s="19" t="s">
        <v>40</v>
      </c>
      <c r="B7" s="20" t="s">
        <v>31</v>
      </c>
      <c r="C7" s="20" t="s">
        <v>35</v>
      </c>
      <c r="D7" s="21">
        <v>125</v>
      </c>
      <c r="E7" s="20" t="s">
        <v>25</v>
      </c>
      <c r="F7" s="16"/>
      <c r="G7" s="33"/>
      <c r="H7" s="4" t="s">
        <v>11</v>
      </c>
      <c r="I7" s="13">
        <v>756.4</v>
      </c>
      <c r="J7">
        <v>750</v>
      </c>
    </row>
    <row r="8" spans="1:10" x14ac:dyDescent="0.2">
      <c r="A8" s="22" t="s">
        <v>41</v>
      </c>
      <c r="B8" s="20" t="s">
        <v>31</v>
      </c>
      <c r="C8" s="20" t="s">
        <v>32</v>
      </c>
      <c r="D8" s="21">
        <v>-1.1200000000000001</v>
      </c>
      <c r="E8" s="20" t="s">
        <v>26</v>
      </c>
      <c r="F8" s="16"/>
      <c r="G8" s="33"/>
      <c r="H8" s="4" t="s">
        <v>12</v>
      </c>
      <c r="I8" s="10">
        <v>330</v>
      </c>
      <c r="J8">
        <v>330</v>
      </c>
    </row>
    <row r="9" spans="1:10" x14ac:dyDescent="0.2">
      <c r="A9" s="22" t="s">
        <v>42</v>
      </c>
      <c r="B9" s="23" t="s">
        <v>43</v>
      </c>
      <c r="C9" s="23" t="s">
        <v>44</v>
      </c>
      <c r="D9" s="24">
        <v>-5.85</v>
      </c>
      <c r="E9" s="23" t="s">
        <v>17</v>
      </c>
      <c r="F9" s="16"/>
      <c r="G9" s="33"/>
      <c r="H9" s="4" t="s">
        <v>13</v>
      </c>
      <c r="I9" s="10">
        <v>64</v>
      </c>
      <c r="J9">
        <v>64</v>
      </c>
    </row>
    <row r="10" spans="1:10" x14ac:dyDescent="0.2">
      <c r="A10" s="22" t="s">
        <v>42</v>
      </c>
      <c r="B10" s="23" t="s">
        <v>43</v>
      </c>
      <c r="C10" s="23" t="s">
        <v>45</v>
      </c>
      <c r="D10" s="24">
        <v>-9.59</v>
      </c>
      <c r="E10" s="23" t="s">
        <v>21</v>
      </c>
      <c r="F10" s="16"/>
      <c r="G10" s="33"/>
      <c r="H10" s="3"/>
      <c r="I10" s="3">
        <f>SUM(J2:J9)</f>
        <v>1348</v>
      </c>
    </row>
    <row r="11" spans="1:10" x14ac:dyDescent="0.2">
      <c r="A11" s="22" t="s">
        <v>42</v>
      </c>
      <c r="B11" s="23" t="s">
        <v>43</v>
      </c>
      <c r="C11" s="23" t="s">
        <v>46</v>
      </c>
      <c r="D11" s="24">
        <v>-2.14</v>
      </c>
      <c r="E11" s="23" t="s">
        <v>17</v>
      </c>
      <c r="F11" s="16"/>
      <c r="G11" s="33"/>
      <c r="H11" s="3"/>
      <c r="I11" s="3"/>
    </row>
    <row r="12" spans="1:10" x14ac:dyDescent="0.2">
      <c r="A12" s="22" t="s">
        <v>50</v>
      </c>
      <c r="B12" s="23" t="s">
        <v>43</v>
      </c>
      <c r="C12" s="23" t="s">
        <v>47</v>
      </c>
      <c r="D12" s="24">
        <v>-2.2000000000000002</v>
      </c>
      <c r="E12" s="23" t="s">
        <v>17</v>
      </c>
      <c r="F12" s="16"/>
      <c r="G12" s="33"/>
      <c r="H12" s="3"/>
      <c r="I12" s="3"/>
    </row>
    <row r="13" spans="1:10" ht="20" x14ac:dyDescent="0.25">
      <c r="A13" s="22" t="s">
        <v>50</v>
      </c>
      <c r="B13" s="23" t="s">
        <v>43</v>
      </c>
      <c r="C13" s="23" t="s">
        <v>46</v>
      </c>
      <c r="D13" s="24">
        <v>-0.79</v>
      </c>
      <c r="E13" s="23" t="s">
        <v>17</v>
      </c>
      <c r="F13" s="16"/>
      <c r="G13" s="33"/>
      <c r="H13" s="36" t="s">
        <v>14</v>
      </c>
      <c r="I13" s="36"/>
    </row>
    <row r="14" spans="1:10" x14ac:dyDescent="0.2">
      <c r="A14" s="22" t="s">
        <v>51</v>
      </c>
      <c r="B14" s="23" t="s">
        <v>43</v>
      </c>
      <c r="C14" s="23" t="s">
        <v>46</v>
      </c>
      <c r="D14" s="24">
        <v>-1.1599999999999999</v>
      </c>
      <c r="E14" s="23" t="s">
        <v>17</v>
      </c>
      <c r="F14" s="16"/>
      <c r="G14" s="33"/>
      <c r="H14" s="4" t="s">
        <v>15</v>
      </c>
      <c r="I14" s="4">
        <f>SUMIFS(D2:D400,E2:E400, "Groceries")</f>
        <v>-17.860000000000003</v>
      </c>
    </row>
    <row r="15" spans="1:10" x14ac:dyDescent="0.2">
      <c r="A15" s="22" t="s">
        <v>52</v>
      </c>
      <c r="B15" s="23" t="s">
        <v>43</v>
      </c>
      <c r="C15" s="23" t="s">
        <v>48</v>
      </c>
      <c r="D15" s="24">
        <v>-3.68</v>
      </c>
      <c r="E15" s="23" t="s">
        <v>15</v>
      </c>
      <c r="F15" s="16"/>
      <c r="G15" s="33"/>
      <c r="H15" s="4" t="s">
        <v>16</v>
      </c>
      <c r="I15" s="4">
        <f>SUMIFS(D2:D400,E2:E400, "Transportation")</f>
        <v>-10.01</v>
      </c>
    </row>
    <row r="16" spans="1:10" x14ac:dyDescent="0.2">
      <c r="A16" s="22" t="s">
        <v>52</v>
      </c>
      <c r="B16" s="23" t="s">
        <v>43</v>
      </c>
      <c r="C16" s="23" t="s">
        <v>46</v>
      </c>
      <c r="D16" s="24">
        <v>-0.79</v>
      </c>
      <c r="E16" s="23" t="s">
        <v>17</v>
      </c>
      <c r="F16" s="16"/>
      <c r="G16" s="33"/>
      <c r="H16" s="4" t="s">
        <v>17</v>
      </c>
      <c r="I16" s="4">
        <f>SUMIFS(D2:D400,E2:E400, H16)</f>
        <v>-39.069999999999993</v>
      </c>
    </row>
    <row r="17" spans="1:9" x14ac:dyDescent="0.2">
      <c r="A17" s="22" t="s">
        <v>53</v>
      </c>
      <c r="B17" s="23" t="s">
        <v>43</v>
      </c>
      <c r="C17" s="23" t="s">
        <v>46</v>
      </c>
      <c r="D17" s="24">
        <v>-0.84</v>
      </c>
      <c r="E17" s="23" t="s">
        <v>17</v>
      </c>
      <c r="F17" s="16"/>
      <c r="G17" s="33"/>
      <c r="H17" s="4" t="s">
        <v>18</v>
      </c>
      <c r="I17" s="4">
        <f>SUMIFS(D2:D400,E2:E400, H17)</f>
        <v>0</v>
      </c>
    </row>
    <row r="18" spans="1:9" x14ac:dyDescent="0.2">
      <c r="A18" s="22" t="s">
        <v>41</v>
      </c>
      <c r="B18" s="23" t="s">
        <v>43</v>
      </c>
      <c r="C18" s="23" t="s">
        <v>49</v>
      </c>
      <c r="D18" s="24">
        <v>-3.5</v>
      </c>
      <c r="E18" s="23" t="s">
        <v>21</v>
      </c>
      <c r="F18" s="16"/>
      <c r="G18" s="33"/>
      <c r="H18" s="4" t="s">
        <v>19</v>
      </c>
      <c r="I18" s="4">
        <f>SUMIFS(D2:D400,E2:E400, H1)</f>
        <v>0</v>
      </c>
    </row>
    <row r="19" spans="1:9" x14ac:dyDescent="0.2">
      <c r="A19" s="25">
        <v>45689</v>
      </c>
      <c r="B19" s="23" t="s">
        <v>54</v>
      </c>
      <c r="C19" s="23" t="s">
        <v>55</v>
      </c>
      <c r="D19" s="30">
        <v>-3.49</v>
      </c>
      <c r="E19" s="23" t="s">
        <v>21</v>
      </c>
      <c r="F19" s="16"/>
      <c r="G19" s="33"/>
      <c r="H19" s="4" t="s">
        <v>20</v>
      </c>
      <c r="I19" s="4">
        <f>SUMIFS(D2:D400,E2:E400, H19)</f>
        <v>0</v>
      </c>
    </row>
    <row r="20" spans="1:9" x14ac:dyDescent="0.2">
      <c r="A20" s="25">
        <v>45778</v>
      </c>
      <c r="B20" s="23" t="s">
        <v>54</v>
      </c>
      <c r="C20" s="23" t="s">
        <v>56</v>
      </c>
      <c r="D20" s="30">
        <v>-15.72</v>
      </c>
      <c r="E20" s="23" t="s">
        <v>23</v>
      </c>
      <c r="F20" s="16"/>
      <c r="G20" s="33"/>
      <c r="H20" s="4" t="s">
        <v>21</v>
      </c>
      <c r="I20" s="4">
        <f>SUMIFS(D2:D400,E2:E400, H20)</f>
        <v>-23.07</v>
      </c>
    </row>
    <row r="21" spans="1:9" x14ac:dyDescent="0.2">
      <c r="A21" s="25">
        <v>45870</v>
      </c>
      <c r="B21" s="23" t="s">
        <v>54</v>
      </c>
      <c r="C21" s="23" t="s">
        <v>57</v>
      </c>
      <c r="D21" s="30">
        <v>-0.5</v>
      </c>
      <c r="E21" s="23" t="s">
        <v>17</v>
      </c>
      <c r="F21" s="16"/>
      <c r="G21" s="33"/>
      <c r="H21" s="4" t="s">
        <v>22</v>
      </c>
      <c r="I21" s="4">
        <f>SUMIFS(D2:D400,E2:E400, H21)</f>
        <v>0</v>
      </c>
    </row>
    <row r="22" spans="1:9" x14ac:dyDescent="0.2">
      <c r="A22" s="26" t="s">
        <v>58</v>
      </c>
      <c r="B22" s="23" t="s">
        <v>54</v>
      </c>
      <c r="C22" s="23" t="s">
        <v>55</v>
      </c>
      <c r="D22" s="30">
        <v>-6.49</v>
      </c>
      <c r="E22" s="23" t="s">
        <v>21</v>
      </c>
      <c r="F22" s="16"/>
      <c r="G22" s="33"/>
      <c r="H22" s="4" t="s">
        <v>23</v>
      </c>
      <c r="I22" s="4">
        <f>SUMIFS(D2:D400,E2:E400, H22)</f>
        <v>-27.890000000000004</v>
      </c>
    </row>
    <row r="23" spans="1:9" x14ac:dyDescent="0.2">
      <c r="A23" s="27" t="s">
        <v>58</v>
      </c>
      <c r="B23" s="23" t="s">
        <v>54</v>
      </c>
      <c r="C23" s="23" t="s">
        <v>59</v>
      </c>
      <c r="D23" s="30">
        <v>-1.34</v>
      </c>
      <c r="E23" s="23" t="s">
        <v>15</v>
      </c>
      <c r="F23" s="16"/>
      <c r="G23" s="33"/>
      <c r="H23" s="4" t="s">
        <v>24</v>
      </c>
      <c r="I23" s="4">
        <f>SUMIFS(D2:D400,E2:E400, H23)</f>
        <v>0</v>
      </c>
    </row>
    <row r="24" spans="1:9" x14ac:dyDescent="0.2">
      <c r="A24" s="27" t="s">
        <v>58</v>
      </c>
      <c r="B24" s="23" t="s">
        <v>54</v>
      </c>
      <c r="C24" s="23" t="s">
        <v>59</v>
      </c>
      <c r="D24" s="30">
        <v>-1.22</v>
      </c>
      <c r="E24" s="23" t="s">
        <v>15</v>
      </c>
      <c r="F24" s="16"/>
      <c r="G24" s="33"/>
      <c r="H24" s="4" t="s">
        <v>26</v>
      </c>
      <c r="I24" s="4">
        <f>SUMIFS(D2:D400,E2:E400, H24)</f>
        <v>-4.49</v>
      </c>
    </row>
    <row r="25" spans="1:9" x14ac:dyDescent="0.2">
      <c r="A25" s="27" t="s">
        <v>60</v>
      </c>
      <c r="B25" s="23" t="s">
        <v>54</v>
      </c>
      <c r="C25" s="23" t="s">
        <v>61</v>
      </c>
      <c r="D25" s="30">
        <v>-0.5</v>
      </c>
      <c r="E25" s="23" t="s">
        <v>26</v>
      </c>
      <c r="F25" s="16"/>
      <c r="G25" s="33"/>
      <c r="H25" s="5" t="s">
        <v>74</v>
      </c>
      <c r="I25" s="32">
        <f>SUM(I14:I24)</f>
        <v>-122.38999999999999</v>
      </c>
    </row>
    <row r="26" spans="1:9" x14ac:dyDescent="0.2">
      <c r="A26" s="27" t="s">
        <v>62</v>
      </c>
      <c r="B26" s="23" t="s">
        <v>54</v>
      </c>
      <c r="C26" s="23" t="s">
        <v>57</v>
      </c>
      <c r="D26" s="30">
        <v>-0.3</v>
      </c>
      <c r="E26" s="23" t="s">
        <v>17</v>
      </c>
      <c r="F26" s="16"/>
      <c r="G26" s="33"/>
      <c r="H26" s="37"/>
      <c r="I26" s="38"/>
    </row>
    <row r="27" spans="1:9" x14ac:dyDescent="0.2">
      <c r="A27" s="27" t="s">
        <v>62</v>
      </c>
      <c r="B27" s="23" t="s">
        <v>54</v>
      </c>
      <c r="C27" s="23" t="s">
        <v>57</v>
      </c>
      <c r="D27" s="30">
        <v>-1.28</v>
      </c>
      <c r="E27" s="23" t="s">
        <v>17</v>
      </c>
      <c r="F27" s="16"/>
      <c r="H27" s="6" t="s">
        <v>25</v>
      </c>
      <c r="I27" s="7">
        <f>SUMIFS(D2:D400,E2:E400, H27)</f>
        <v>235</v>
      </c>
    </row>
    <row r="28" spans="1:9" x14ac:dyDescent="0.2">
      <c r="A28" s="27" t="s">
        <v>63</v>
      </c>
      <c r="B28" s="23" t="s">
        <v>54</v>
      </c>
      <c r="C28" s="23" t="s">
        <v>56</v>
      </c>
      <c r="D28" s="30">
        <v>-10.98</v>
      </c>
      <c r="E28" s="23" t="s">
        <v>23</v>
      </c>
      <c r="F28" s="16"/>
      <c r="I28" s="8">
        <f>I27+I25</f>
        <v>112.61000000000001</v>
      </c>
    </row>
    <row r="29" spans="1:9" x14ac:dyDescent="0.2">
      <c r="A29" s="27" t="s">
        <v>63</v>
      </c>
      <c r="B29" s="23" t="s">
        <v>54</v>
      </c>
      <c r="C29" s="23" t="s">
        <v>57</v>
      </c>
      <c r="D29" s="30">
        <v>-0.99</v>
      </c>
      <c r="E29" s="23" t="s">
        <v>17</v>
      </c>
      <c r="F29" s="16"/>
    </row>
    <row r="30" spans="1:9" x14ac:dyDescent="0.2">
      <c r="A30" s="27" t="s">
        <v>63</v>
      </c>
      <c r="B30" s="23" t="s">
        <v>54</v>
      </c>
      <c r="C30" s="23" t="s">
        <v>57</v>
      </c>
      <c r="D30" s="30">
        <v>-0.73</v>
      </c>
      <c r="E30" s="23" t="s">
        <v>17</v>
      </c>
      <c r="F30" s="16"/>
    </row>
    <row r="31" spans="1:9" x14ac:dyDescent="0.2">
      <c r="A31" s="27" t="s">
        <v>63</v>
      </c>
      <c r="B31" s="23" t="s">
        <v>54</v>
      </c>
      <c r="C31" s="23" t="s">
        <v>64</v>
      </c>
      <c r="D31" s="30">
        <v>-0.82</v>
      </c>
      <c r="E31" s="23" t="s">
        <v>15</v>
      </c>
      <c r="F31" s="16"/>
    </row>
    <row r="32" spans="1:9" x14ac:dyDescent="0.2">
      <c r="A32" s="27" t="s">
        <v>65</v>
      </c>
      <c r="B32" s="23" t="s">
        <v>54</v>
      </c>
      <c r="C32" s="23" t="s">
        <v>66</v>
      </c>
      <c r="D32" s="30">
        <v>-2.2999999999999998</v>
      </c>
      <c r="E32" s="23" t="s">
        <v>17</v>
      </c>
      <c r="F32" s="16"/>
    </row>
    <row r="33" spans="1:6" x14ac:dyDescent="0.2">
      <c r="A33" s="27" t="s">
        <v>40</v>
      </c>
      <c r="B33" s="23" t="s">
        <v>54</v>
      </c>
      <c r="C33" s="23" t="s">
        <v>67</v>
      </c>
      <c r="D33" s="30">
        <v>0.13</v>
      </c>
      <c r="E33" s="23" t="s">
        <v>26</v>
      </c>
      <c r="F33" s="16"/>
    </row>
    <row r="34" spans="1:6" x14ac:dyDescent="0.2">
      <c r="A34" s="27" t="s">
        <v>38</v>
      </c>
      <c r="B34" s="23" t="s">
        <v>54</v>
      </c>
      <c r="C34" s="23" t="s">
        <v>68</v>
      </c>
      <c r="D34" s="30">
        <v>-2</v>
      </c>
      <c r="E34" s="23" t="s">
        <v>17</v>
      </c>
      <c r="F34" s="16"/>
    </row>
    <row r="35" spans="1:6" x14ac:dyDescent="0.2">
      <c r="A35" s="27" t="s">
        <v>38</v>
      </c>
      <c r="B35" s="23" t="s">
        <v>54</v>
      </c>
      <c r="C35" s="23" t="s">
        <v>57</v>
      </c>
      <c r="D35" s="30">
        <v>-1.4</v>
      </c>
      <c r="E35" s="23" t="s">
        <v>17</v>
      </c>
      <c r="F35" s="16"/>
    </row>
    <row r="36" spans="1:6" x14ac:dyDescent="0.2">
      <c r="A36" s="27" t="s">
        <v>69</v>
      </c>
      <c r="B36" s="23" t="s">
        <v>54</v>
      </c>
      <c r="C36" s="23" t="s">
        <v>66</v>
      </c>
      <c r="D36" s="30">
        <v>-2.2999999999999998</v>
      </c>
      <c r="E36" s="23" t="s">
        <v>17</v>
      </c>
      <c r="F36" s="16"/>
    </row>
    <row r="37" spans="1:6" x14ac:dyDescent="0.2">
      <c r="A37" s="27" t="s">
        <v>38</v>
      </c>
      <c r="B37" s="23" t="s">
        <v>54</v>
      </c>
      <c r="C37" s="23" t="s">
        <v>70</v>
      </c>
      <c r="D37" s="30">
        <v>-0.65</v>
      </c>
      <c r="E37" s="23" t="s">
        <v>15</v>
      </c>
      <c r="F37" s="16"/>
    </row>
    <row r="38" spans="1:6" x14ac:dyDescent="0.2">
      <c r="A38" s="27" t="s">
        <v>71</v>
      </c>
      <c r="B38" s="23" t="s">
        <v>54</v>
      </c>
      <c r="C38" s="23" t="s">
        <v>56</v>
      </c>
      <c r="D38" s="30">
        <v>-1.19</v>
      </c>
      <c r="E38" s="23" t="s">
        <v>23</v>
      </c>
      <c r="F38" s="16"/>
    </row>
    <row r="39" spans="1:6" x14ac:dyDescent="0.2">
      <c r="A39" s="27" t="s">
        <v>71</v>
      </c>
      <c r="B39" s="23" t="s">
        <v>54</v>
      </c>
      <c r="C39" s="23" t="s">
        <v>57</v>
      </c>
      <c r="D39" s="30">
        <v>-1.05</v>
      </c>
      <c r="E39" s="23" t="s">
        <v>17</v>
      </c>
      <c r="F39" s="16"/>
    </row>
    <row r="40" spans="1:6" x14ac:dyDescent="0.2">
      <c r="A40" s="27" t="s">
        <v>71</v>
      </c>
      <c r="B40" s="23" t="s">
        <v>54</v>
      </c>
      <c r="C40" s="23" t="s">
        <v>59</v>
      </c>
      <c r="D40" s="30">
        <v>-4.1100000000000003</v>
      </c>
      <c r="E40" s="23" t="s">
        <v>15</v>
      </c>
      <c r="F40" s="16"/>
    </row>
    <row r="41" spans="1:6" x14ac:dyDescent="0.2">
      <c r="A41" s="27" t="s">
        <v>72</v>
      </c>
      <c r="B41" s="23" t="s">
        <v>54</v>
      </c>
      <c r="C41" s="23" t="s">
        <v>73</v>
      </c>
      <c r="D41" s="30">
        <v>-0.8</v>
      </c>
      <c r="E41" s="23" t="s">
        <v>15</v>
      </c>
      <c r="F41" s="16"/>
    </row>
    <row r="42" spans="1:6" x14ac:dyDescent="0.2">
      <c r="A42" s="27" t="s">
        <v>72</v>
      </c>
      <c r="B42" s="23" t="s">
        <v>54</v>
      </c>
      <c r="C42" s="23" t="s">
        <v>57</v>
      </c>
      <c r="D42" s="30">
        <v>-1.82</v>
      </c>
      <c r="E42" s="23" t="s">
        <v>17</v>
      </c>
      <c r="F42" s="16"/>
    </row>
    <row r="43" spans="1:6" x14ac:dyDescent="0.2">
      <c r="A43" s="28" t="s">
        <v>33</v>
      </c>
      <c r="B43" s="29" t="s">
        <v>54</v>
      </c>
      <c r="C43" s="29" t="s">
        <v>57</v>
      </c>
      <c r="D43" s="31">
        <v>-1.33</v>
      </c>
      <c r="E43" s="29" t="s">
        <v>17</v>
      </c>
      <c r="F43" s="18"/>
    </row>
    <row r="44" spans="1:6" x14ac:dyDescent="0.2">
      <c r="A44" s="14"/>
      <c r="D44" s="1">
        <f>SUM(D2:D43)</f>
        <v>112.61</v>
      </c>
    </row>
    <row r="45" spans="1:6" x14ac:dyDescent="0.2">
      <c r="A45" s="14"/>
    </row>
  </sheetData>
  <mergeCells count="4">
    <mergeCell ref="G1:G26"/>
    <mergeCell ref="H1:I1"/>
    <mergeCell ref="H13:I13"/>
    <mergeCell ref="H26:I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CA17-7690-0D4A-96C3-EBF330FDC4AC}">
  <dimension ref="A1:F2"/>
  <sheetViews>
    <sheetView workbookViewId="0">
      <selection activeCell="F9" sqref="F9"/>
    </sheetView>
  </sheetViews>
  <sheetFormatPr baseColWidth="10" defaultRowHeight="16" x14ac:dyDescent="0.2"/>
  <sheetData>
    <row r="1" spans="1:6" x14ac:dyDescent="0.2">
      <c r="A1" t="s">
        <v>75</v>
      </c>
      <c r="B1" t="s">
        <v>76</v>
      </c>
      <c r="C1" t="s">
        <v>28</v>
      </c>
      <c r="D1">
        <v>3.3700000000000002E-3</v>
      </c>
      <c r="E1">
        <v>3261</v>
      </c>
      <c r="F1">
        <v>10.98</v>
      </c>
    </row>
    <row r="2" spans="1:6" x14ac:dyDescent="0.2">
      <c r="A2" t="s">
        <v>29</v>
      </c>
      <c r="B2" t="s">
        <v>27</v>
      </c>
      <c r="C2" t="s">
        <v>28</v>
      </c>
      <c r="D2">
        <v>100</v>
      </c>
      <c r="E2">
        <v>0.25590000000000002</v>
      </c>
      <c r="F2">
        <v>25.59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 txs</vt:lpstr>
      <vt:lpstr>Crypto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Semeniuk</dc:creator>
  <cp:lastModifiedBy>Dmytro Semeniuk</cp:lastModifiedBy>
  <dcterms:created xsi:type="dcterms:W3CDTF">2025-01-01T23:49:02Z</dcterms:created>
  <dcterms:modified xsi:type="dcterms:W3CDTF">2025-03-02T10:54:15Z</dcterms:modified>
</cp:coreProperties>
</file>